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20" activeTab="2"/>
  </bookViews>
  <sheets>
    <sheet name="Data" sheetId="1" r:id="rId1"/>
    <sheet name="Pivot" sheetId="2" r:id="rId2"/>
    <sheet name="Dashboard" sheetId="4" r:id="rId3"/>
  </sheets>
  <calcPr calcId="125725" iterateDelta="1E-4"/>
</workbook>
</file>

<file path=xl/calcChain.xml><?xml version="1.0" encoding="utf-8"?>
<calcChain xmlns="http://schemas.openxmlformats.org/spreadsheetml/2006/main">
  <c r="O3" i="1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2"/>
  <c r="L7" i="2"/>
  <c r="L6"/>
  <c r="L5"/>
  <c r="L4"/>
  <c r="L3"/>
  <c r="K7"/>
  <c r="K6"/>
  <c r="K5"/>
  <c r="K4"/>
  <c r="K3"/>
  <c r="N47" i="1"/>
  <c r="F47"/>
  <c r="N46"/>
  <c r="F46"/>
  <c r="N45"/>
  <c r="F45"/>
  <c r="N44"/>
  <c r="F44"/>
  <c r="N43"/>
  <c r="F43"/>
  <c r="N42"/>
  <c r="F42"/>
  <c r="N41"/>
  <c r="F41"/>
  <c r="N40"/>
  <c r="F40"/>
  <c r="N39"/>
  <c r="F39"/>
  <c r="N38"/>
  <c r="F38"/>
  <c r="N37"/>
  <c r="F37"/>
  <c r="N36"/>
  <c r="F36"/>
  <c r="N35"/>
  <c r="F35"/>
  <c r="N34"/>
  <c r="F34"/>
  <c r="N33"/>
  <c r="F33"/>
  <c r="N32"/>
  <c r="F32"/>
  <c r="N31"/>
  <c r="F31"/>
  <c r="N30"/>
  <c r="F30"/>
  <c r="N29"/>
  <c r="F29"/>
  <c r="N28"/>
  <c r="F28"/>
  <c r="N27"/>
  <c r="F27"/>
  <c r="N26"/>
  <c r="F26"/>
  <c r="N25"/>
  <c r="F25"/>
  <c r="N24"/>
  <c r="F24"/>
  <c r="N23"/>
  <c r="F23"/>
  <c r="N22"/>
  <c r="F22"/>
  <c r="N21"/>
  <c r="F21"/>
  <c r="N20"/>
  <c r="F20"/>
  <c r="N19"/>
  <c r="F19"/>
  <c r="N18"/>
  <c r="F18"/>
  <c r="N17"/>
  <c r="F17"/>
  <c r="N16"/>
  <c r="F16"/>
  <c r="N15"/>
  <c r="F15"/>
  <c r="N14"/>
  <c r="F14"/>
  <c r="N13"/>
  <c r="F13"/>
  <c r="N12"/>
  <c r="F12"/>
  <c r="N11"/>
  <c r="F11"/>
  <c r="N10"/>
  <c r="F10"/>
  <c r="N9"/>
  <c r="F9"/>
  <c r="N8"/>
  <c r="F8"/>
  <c r="N7"/>
  <c r="F7"/>
  <c r="N6"/>
  <c r="F6"/>
  <c r="N5"/>
  <c r="F5"/>
  <c r="N4"/>
  <c r="F4"/>
  <c r="N3"/>
  <c r="F3"/>
  <c r="N2"/>
  <c r="F2"/>
  <c r="B6" i="2" l="1"/>
  <c r="D6" s="1"/>
  <c r="B7"/>
  <c r="C3"/>
  <c r="B3"/>
  <c r="B4"/>
  <c r="D4" s="1"/>
  <c r="B5"/>
  <c r="D5" s="1"/>
  <c r="P6"/>
  <c r="M7"/>
  <c r="M6"/>
  <c r="M5"/>
  <c r="M4"/>
  <c r="M3"/>
  <c r="B9" i="4"/>
  <c r="J9"/>
  <c r="H9"/>
  <c r="F9"/>
  <c r="D9"/>
  <c r="C5" i="2"/>
  <c r="G13"/>
  <c r="G9"/>
  <c r="G5"/>
  <c r="H11"/>
  <c r="H7"/>
  <c r="P7"/>
  <c r="C6"/>
  <c r="H3"/>
  <c r="G10"/>
  <c r="G6"/>
  <c r="H12"/>
  <c r="H8"/>
  <c r="H4"/>
  <c r="P8"/>
  <c r="P4"/>
  <c r="D3"/>
  <c r="D7"/>
  <c r="C7"/>
  <c r="G3"/>
  <c r="G11"/>
  <c r="G7"/>
  <c r="H13"/>
  <c r="H9"/>
  <c r="H5"/>
  <c r="P3"/>
  <c r="P5"/>
  <c r="C4"/>
  <c r="G12"/>
  <c r="G8"/>
  <c r="G4"/>
  <c r="H10"/>
  <c r="H6"/>
</calcChain>
</file>

<file path=xl/sharedStrings.xml><?xml version="1.0" encoding="utf-8"?>
<sst xmlns="http://schemas.openxmlformats.org/spreadsheetml/2006/main" count="391" uniqueCount="82">
  <si>
    <t>Booking_ID</t>
  </si>
  <si>
    <t>Hotel</t>
  </si>
  <si>
    <t>Customer_Name</t>
  </si>
  <si>
    <t>Country</t>
  </si>
  <si>
    <t>Arrival_Date</t>
  </si>
  <si>
    <t>Arrival_Month</t>
  </si>
  <si>
    <t>Lead_Time_Days</t>
  </si>
  <si>
    <t>Market_Segment</t>
  </si>
  <si>
    <t>Room_Type</t>
  </si>
  <si>
    <t>ADR</t>
  </si>
  <si>
    <t>Total_Nights</t>
  </si>
  <si>
    <t>Is_Canceled</t>
  </si>
  <si>
    <t>Booking_Channel</t>
  </si>
  <si>
    <t>Revenue</t>
  </si>
  <si>
    <t>FilterMatch</t>
  </si>
  <si>
    <t>Resort Hotel</t>
  </si>
  <si>
    <t>John Smith</t>
  </si>
  <si>
    <t>Unknown</t>
  </si>
  <si>
    <t>Online Ta</t>
  </si>
  <si>
    <t>E</t>
  </si>
  <si>
    <t>Yes</t>
  </si>
  <si>
    <t>Booking.Com</t>
  </si>
  <si>
    <t>James Anderson</t>
  </si>
  <si>
    <t>Italy</t>
  </si>
  <si>
    <t>Direct</t>
  </si>
  <si>
    <t>A</t>
  </si>
  <si>
    <t>No</t>
  </si>
  <si>
    <t>Direct Website</t>
  </si>
  <si>
    <t>Maria Silva</t>
  </si>
  <si>
    <t>Spain</t>
  </si>
  <si>
    <t>Offline Ta/To</t>
  </si>
  <si>
    <t>Mia Wilson</t>
  </si>
  <si>
    <t>Portugal</t>
  </si>
  <si>
    <t>D</t>
  </si>
  <si>
    <t>Corporate Portal</t>
  </si>
  <si>
    <t>City Hotel</t>
  </si>
  <si>
    <t>Amelia Martin</t>
  </si>
  <si>
    <t>Ireland</t>
  </si>
  <si>
    <t>Groups</t>
  </si>
  <si>
    <t>Expedia</t>
  </si>
  <si>
    <t>Henry Harris</t>
  </si>
  <si>
    <t>Germany</t>
  </si>
  <si>
    <t>Alexander Thompson</t>
  </si>
  <si>
    <t>C</t>
  </si>
  <si>
    <t>Emma Johnson</t>
  </si>
  <si>
    <t>United Kingdom</t>
  </si>
  <si>
    <t>Corporate</t>
  </si>
  <si>
    <t>B</t>
  </si>
  <si>
    <t>Liam O'Brien</t>
  </si>
  <si>
    <t>Netherlands</t>
  </si>
  <si>
    <t>Lucas Garcia</t>
  </si>
  <si>
    <t>Brazil</t>
  </si>
  <si>
    <t>Ethan Davis</t>
  </si>
  <si>
    <t>Olivia Brown</t>
  </si>
  <si>
    <t>France</t>
  </si>
  <si>
    <t>Usa</t>
  </si>
  <si>
    <t>Benjamin Jackson</t>
  </si>
  <si>
    <t>Ava Martinez</t>
  </si>
  <si>
    <t>Travel Agent</t>
  </si>
  <si>
    <t>Anna Muller</t>
  </si>
  <si>
    <t>Noah Williams</t>
  </si>
  <si>
    <t>Bookings</t>
  </si>
  <si>
    <t>Avg ADR</t>
  </si>
  <si>
    <t>1. Revenue &amp; Bookings by Market Segment</t>
  </si>
  <si>
    <t>2. Bookings &amp; Revenue by Country</t>
  </si>
  <si>
    <t>3. Cancellation Rate by Market Segment</t>
  </si>
  <si>
    <t>Total Bookings</t>
  </si>
  <si>
    <t>Cancelled</t>
  </si>
  <si>
    <t>Cancellation Rate</t>
  </si>
  <si>
    <t xml:space="preserve">4. Revenue by Arrival Month </t>
  </si>
  <si>
    <t>Month</t>
  </si>
  <si>
    <t>Jan-2025</t>
  </si>
  <si>
    <t>Feb-2025</t>
  </si>
  <si>
    <t>Mar-2025</t>
  </si>
  <si>
    <t>Apr-2025</t>
  </si>
  <si>
    <t>May-2025</t>
  </si>
  <si>
    <t>Jun-2025</t>
  </si>
  <si>
    <t xml:space="preserve">Travel Booking Dashboard </t>
  </si>
  <si>
    <t>Total Revenue</t>
  </si>
  <si>
    <t>Average ADR</t>
  </si>
  <si>
    <t>Avg Lead Time (days)</t>
  </si>
  <si>
    <t>All</t>
  </si>
</sst>
</file>

<file path=xl/styles.xml><?xml version="1.0" encoding="utf-8"?>
<styleSheet xmlns="http://schemas.openxmlformats.org/spreadsheetml/2006/main">
  <numFmts count="4">
    <numFmt numFmtId="164" formatCode="yyyy\-mm\-dd"/>
    <numFmt numFmtId="165" formatCode="\$#,##0.00"/>
    <numFmt numFmtId="166" formatCode="0.0%"/>
    <numFmt numFmtId="167" formatCode="\$#,##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FFFFFF"/>
      <name val="Calibri"/>
      <family val="2"/>
    </font>
    <font>
      <sz val="28"/>
      <color theme="1"/>
      <name val="Calibri"/>
      <family val="2"/>
      <scheme val="minor"/>
    </font>
    <font>
      <sz val="10"/>
      <color rgb="FF5959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165" fontId="0" fillId="0" borderId="0" xfId="0" applyNumberForma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/>
    <xf numFmtId="166" fontId="0" fillId="0" borderId="0" xfId="0" applyNumberFormat="1"/>
    <xf numFmtId="0" fontId="0" fillId="4" borderId="0" xfId="0" applyFill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Market Segment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Pivot!$C$2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cat>
            <c:strRef>
              <c:f>Pivot!$A$3:$A$7</c:f>
              <c:strCache>
                <c:ptCount val="5"/>
                <c:pt idx="0">
                  <c:v>Online Ta</c:v>
                </c:pt>
                <c:pt idx="1">
                  <c:v>Offline Ta/To</c:v>
                </c:pt>
                <c:pt idx="2">
                  <c:v>Direct</c:v>
                </c:pt>
                <c:pt idx="3">
                  <c:v>Corporate</c:v>
                </c:pt>
                <c:pt idx="4">
                  <c:v>Groups</c:v>
                </c:pt>
              </c:strCache>
            </c:strRef>
          </c:cat>
          <c:val>
            <c:numRef>
              <c:f>Pivot!$C$3:$C$7</c:f>
              <c:numCache>
                <c:formatCode>\$#,##0.00</c:formatCode>
                <c:ptCount val="5"/>
                <c:pt idx="0">
                  <c:v>20137.170000000002</c:v>
                </c:pt>
                <c:pt idx="1">
                  <c:v>2565.2600000000002</c:v>
                </c:pt>
                <c:pt idx="2">
                  <c:v>11702.339999999998</c:v>
                </c:pt>
                <c:pt idx="3">
                  <c:v>7804.0499999999993</c:v>
                </c:pt>
                <c:pt idx="4">
                  <c:v>7945.0999999999995</c:v>
                </c:pt>
              </c:numCache>
            </c:numRef>
          </c:val>
        </c:ser>
        <c:axId val="94669824"/>
        <c:axId val="94241536"/>
      </c:barChart>
      <c:catAx>
        <c:axId val="94669824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41536"/>
        <c:crosses val="autoZero"/>
        <c:auto val="1"/>
        <c:lblAlgn val="ctr"/>
        <c:lblOffset val="100"/>
      </c:catAx>
      <c:valAx>
        <c:axId val="94241536"/>
        <c:scaling>
          <c:orientation val="minMax"/>
        </c:scaling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\$#,##0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698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Bookings by Country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Pivot!$G$2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cat>
            <c:strRef>
              <c:f>Pivot!$F$3:$F$12</c:f>
              <c:strCache>
                <c:ptCount val="10"/>
                <c:pt idx="0">
                  <c:v>Portugal</c:v>
                </c:pt>
                <c:pt idx="1">
                  <c:v>United Kingdom</c:v>
                </c:pt>
                <c:pt idx="2">
                  <c:v>France</c:v>
                </c:pt>
                <c:pt idx="3">
                  <c:v>Spain</c:v>
                </c:pt>
                <c:pt idx="4">
                  <c:v>Germany</c:v>
                </c:pt>
                <c:pt idx="5">
                  <c:v>Italy</c:v>
                </c:pt>
                <c:pt idx="6">
                  <c:v>Ireland</c:v>
                </c:pt>
                <c:pt idx="7">
                  <c:v>Brazil</c:v>
                </c:pt>
                <c:pt idx="8">
                  <c:v>Netherlands</c:v>
                </c:pt>
                <c:pt idx="9">
                  <c:v>Usa</c:v>
                </c:pt>
              </c:strCache>
            </c:strRef>
          </c:cat>
          <c:val>
            <c:numRef>
              <c:f>Pivot!$G$3:$G$12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</c:ser>
        <c:axId val="94286592"/>
        <c:axId val="94288128"/>
      </c:barChart>
      <c:catAx>
        <c:axId val="94286592"/>
        <c:scaling>
          <c:orientation val="minMax"/>
        </c:scaling>
        <c:axPos val="l"/>
        <c:numFmt formatCode="General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88128"/>
        <c:crosses val="autoZero"/>
        <c:auto val="1"/>
        <c:lblAlgn val="ctr"/>
        <c:lblOffset val="100"/>
      </c:catAx>
      <c:valAx>
        <c:axId val="94288128"/>
        <c:scaling>
          <c:orientation val="minMax"/>
        </c:scaling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865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Trend by Arrival Month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Pivot!$P$2</c:f>
              <c:strCache>
                <c:ptCount val="1"/>
                <c:pt idx="0">
                  <c:v>Revenue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cat>
            <c:strRef>
              <c:f>Pivot!$O$3:$O$7</c:f>
              <c:strCache>
                <c:ptCount val="5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</c:strCache>
            </c:strRef>
          </c:cat>
          <c:val>
            <c:numRef>
              <c:f>Pivot!$P$3:$P$7</c:f>
              <c:numCache>
                <c:formatCode>\$#,##0.00</c:formatCode>
                <c:ptCount val="5"/>
                <c:pt idx="0">
                  <c:v>7109.59</c:v>
                </c:pt>
                <c:pt idx="1">
                  <c:v>4576.3100000000004</c:v>
                </c:pt>
                <c:pt idx="2">
                  <c:v>10301.120000000001</c:v>
                </c:pt>
                <c:pt idx="3">
                  <c:v>4237.3799999999992</c:v>
                </c:pt>
                <c:pt idx="4">
                  <c:v>9539.7199999999993</c:v>
                </c:pt>
              </c:numCache>
            </c:numRef>
          </c:val>
        </c:ser>
        <c:hiLowLines>
          <c:spPr>
            <a:ln w="0">
              <a:noFill/>
            </a:ln>
          </c:spPr>
        </c:hiLowLines>
        <c:marker val="1"/>
        <c:axId val="94672768"/>
        <c:axId val="94674304"/>
      </c:lineChart>
      <c:catAx>
        <c:axId val="94672768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74304"/>
        <c:crosses val="autoZero"/>
        <c:auto val="1"/>
        <c:lblAlgn val="ctr"/>
        <c:lblOffset val="100"/>
      </c:catAx>
      <c:valAx>
        <c:axId val="94674304"/>
        <c:scaling>
          <c:orientation val="minMax"/>
        </c:scaling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\$#,##0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727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Booking Share by Market Segment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Pivot!$B$2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cat>
            <c:strRef>
              <c:f>Pivot!$A$3:$A$7</c:f>
              <c:strCache>
                <c:ptCount val="5"/>
                <c:pt idx="0">
                  <c:v>Online Ta</c:v>
                </c:pt>
                <c:pt idx="1">
                  <c:v>Offline Ta/To</c:v>
                </c:pt>
                <c:pt idx="2">
                  <c:v>Direct</c:v>
                </c:pt>
                <c:pt idx="3">
                  <c:v>Corporate</c:v>
                </c:pt>
                <c:pt idx="4">
                  <c:v>Groups</c:v>
                </c:pt>
              </c:strCache>
            </c:strRef>
          </c:cat>
          <c:val>
            <c:numRef>
              <c:f>Pivot!$B$3:$B$7</c:f>
              <c:numCache>
                <c:formatCode>General</c:formatCode>
                <c:ptCount val="5"/>
                <c:pt idx="0">
                  <c:v>14</c:v>
                </c:pt>
                <c:pt idx="1">
                  <c:v>4</c:v>
                </c:pt>
                <c:pt idx="2">
                  <c:v>10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10</xdr:row>
      <xdr:rowOff>0</xdr:rowOff>
    </xdr:from>
    <xdr:to>
      <xdr:col>6</xdr:col>
      <xdr:colOff>402430</xdr:colOff>
      <xdr:row>25</xdr:row>
      <xdr:rowOff>21240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609599</xdr:colOff>
      <xdr:row>10</xdr:row>
      <xdr:rowOff>0</xdr:rowOff>
    </xdr:from>
    <xdr:to>
      <xdr:col>12</xdr:col>
      <xdr:colOff>600074</xdr:colOff>
      <xdr:row>25</xdr:row>
      <xdr:rowOff>21240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209549</xdr:colOff>
      <xdr:row>29</xdr:row>
      <xdr:rowOff>0</xdr:rowOff>
    </xdr:from>
    <xdr:to>
      <xdr:col>7</xdr:col>
      <xdr:colOff>259557</xdr:colOff>
      <xdr:row>44</xdr:row>
      <xdr:rowOff>21240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476250</xdr:colOff>
      <xdr:row>29</xdr:row>
      <xdr:rowOff>9525</xdr:rowOff>
    </xdr:from>
    <xdr:to>
      <xdr:col>12</xdr:col>
      <xdr:colOff>581009</xdr:colOff>
      <xdr:row>44</xdr:row>
      <xdr:rowOff>30765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zoomScale="90" zoomScaleNormal="90" workbookViewId="0">
      <selection activeCell="P5" sqref="P5"/>
    </sheetView>
  </sheetViews>
  <sheetFormatPr defaultRowHeight="15"/>
  <cols>
    <col min="1" max="1" width="12.7109375" customWidth="1"/>
    <col min="2" max="2" width="10.5703125" bestFit="1" customWidth="1"/>
    <col min="3" max="3" width="17.7109375" bestFit="1" customWidth="1"/>
    <col min="4" max="4" width="15" bestFit="1" customWidth="1"/>
    <col min="5" max="5" width="14.5703125" customWidth="1"/>
    <col min="6" max="6" width="15" customWidth="1"/>
    <col min="7" max="7" width="16" customWidth="1"/>
    <col min="8" max="8" width="17" customWidth="1"/>
    <col min="9" max="9" width="13.5703125" customWidth="1"/>
    <col min="11" max="11" width="12.7109375" customWidth="1"/>
    <col min="12" max="12" width="11.5703125" customWidth="1"/>
    <col min="13" max="13" width="17.85546875" customWidth="1"/>
    <col min="14" max="14" width="8.85546875" bestFit="1" customWidth="1"/>
    <col min="15" max="15" width="11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100001</v>
      </c>
      <c r="B2" s="2" t="s">
        <v>15</v>
      </c>
      <c r="C2" s="2" t="s">
        <v>16</v>
      </c>
      <c r="D2" s="2" t="s">
        <v>17</v>
      </c>
      <c r="E2" s="3">
        <v>45696</v>
      </c>
      <c r="F2" s="2" t="str">
        <f t="shared" ref="F2:F47" si="0">TEXT(E2,"mmm-yyyy")</f>
        <v>Feb-2025</v>
      </c>
      <c r="G2" s="2">
        <v>18</v>
      </c>
      <c r="H2" s="2" t="s">
        <v>18</v>
      </c>
      <c r="I2" s="2" t="s">
        <v>19</v>
      </c>
      <c r="J2" s="4">
        <v>82.6</v>
      </c>
      <c r="K2" s="2">
        <v>7</v>
      </c>
      <c r="L2" s="2" t="s">
        <v>20</v>
      </c>
      <c r="M2" s="2" t="s">
        <v>21</v>
      </c>
      <c r="N2" s="4">
        <f t="shared" ref="N2:N47" si="1">J2*K2</f>
        <v>578.19999999999993</v>
      </c>
      <c r="O2" s="2">
        <f>IF(AND(OR(Dashboard!$C$4="All",B2=Dashboard!$C$4),OR(Dashboard!$E$4="All",L2=Dashboard!$E$4)),1,0)</f>
        <v>0</v>
      </c>
    </row>
    <row r="3" spans="1:15">
      <c r="A3" s="2">
        <v>100002</v>
      </c>
      <c r="B3" s="2" t="s">
        <v>15</v>
      </c>
      <c r="C3" s="2" t="s">
        <v>22</v>
      </c>
      <c r="D3" s="2" t="s">
        <v>23</v>
      </c>
      <c r="E3" s="3">
        <v>45721</v>
      </c>
      <c r="F3" s="2" t="str">
        <f t="shared" si="0"/>
        <v>Mar-2025</v>
      </c>
      <c r="G3" s="2">
        <v>28</v>
      </c>
      <c r="H3" s="2" t="s">
        <v>24</v>
      </c>
      <c r="I3" s="2" t="s">
        <v>25</v>
      </c>
      <c r="J3" s="4">
        <v>84.11</v>
      </c>
      <c r="K3" s="2">
        <v>2</v>
      </c>
      <c r="L3" s="2" t="s">
        <v>26</v>
      </c>
      <c r="M3" s="2" t="s">
        <v>27</v>
      </c>
      <c r="N3" s="4">
        <f t="shared" si="1"/>
        <v>168.22</v>
      </c>
      <c r="O3" s="2">
        <f>IF(AND(OR(Dashboard!$C$4="All",B3=Dashboard!$C$4),OR(Dashboard!$E$4="All",L3=Dashboard!$E$4)),1,0)</f>
        <v>1</v>
      </c>
    </row>
    <row r="4" spans="1:15">
      <c r="A4" s="2">
        <v>100003</v>
      </c>
      <c r="B4" s="2" t="s">
        <v>15</v>
      </c>
      <c r="C4" s="2" t="s">
        <v>28</v>
      </c>
      <c r="D4" s="2" t="s">
        <v>29</v>
      </c>
      <c r="E4" s="3">
        <v>45719</v>
      </c>
      <c r="F4" s="2" t="str">
        <f t="shared" si="0"/>
        <v>Mar-2025</v>
      </c>
      <c r="G4" s="2">
        <v>49</v>
      </c>
      <c r="H4" s="2" t="s">
        <v>30</v>
      </c>
      <c r="I4" s="2" t="s">
        <v>25</v>
      </c>
      <c r="J4" s="4">
        <v>158.83000000000001</v>
      </c>
      <c r="K4" s="2">
        <v>8</v>
      </c>
      <c r="L4" s="2" t="s">
        <v>26</v>
      </c>
      <c r="M4" s="2" t="s">
        <v>27</v>
      </c>
      <c r="N4" s="4">
        <f t="shared" si="1"/>
        <v>1270.6400000000001</v>
      </c>
      <c r="O4" s="2">
        <f>IF(AND(OR(Dashboard!$C$4="All",B4=Dashboard!$C$4),OR(Dashboard!$E$4="All",L4=Dashboard!$E$4)),1,0)</f>
        <v>1</v>
      </c>
    </row>
    <row r="5" spans="1:15">
      <c r="A5" s="2">
        <v>100004</v>
      </c>
      <c r="B5" s="2" t="s">
        <v>15</v>
      </c>
      <c r="C5" s="2" t="s">
        <v>31</v>
      </c>
      <c r="D5" s="2" t="s">
        <v>32</v>
      </c>
      <c r="E5" s="3">
        <v>45715</v>
      </c>
      <c r="F5" s="2" t="str">
        <f t="shared" si="0"/>
        <v>Feb-2025</v>
      </c>
      <c r="G5" s="2">
        <v>5</v>
      </c>
      <c r="H5" s="2" t="s">
        <v>24</v>
      </c>
      <c r="I5" s="2" t="s">
        <v>33</v>
      </c>
      <c r="J5" s="4">
        <v>129.61000000000001</v>
      </c>
      <c r="K5" s="2">
        <v>4</v>
      </c>
      <c r="L5" s="2" t="s">
        <v>26</v>
      </c>
      <c r="M5" s="2" t="s">
        <v>34</v>
      </c>
      <c r="N5" s="4">
        <f t="shared" si="1"/>
        <v>518.44000000000005</v>
      </c>
      <c r="O5" s="2">
        <f>IF(AND(OR(Dashboard!$C$4="All",B5=Dashboard!$C$4),OR(Dashboard!$E$4="All",L5=Dashboard!$E$4)),1,0)</f>
        <v>1</v>
      </c>
    </row>
    <row r="6" spans="1:15">
      <c r="A6" s="2">
        <v>100005</v>
      </c>
      <c r="B6" s="2" t="s">
        <v>35</v>
      </c>
      <c r="C6" s="2" t="s">
        <v>36</v>
      </c>
      <c r="D6" s="2" t="s">
        <v>37</v>
      </c>
      <c r="E6" s="3">
        <v>45724</v>
      </c>
      <c r="F6" s="2" t="str">
        <f t="shared" si="0"/>
        <v>Mar-2025</v>
      </c>
      <c r="G6" s="2">
        <v>18</v>
      </c>
      <c r="H6" s="2" t="s">
        <v>38</v>
      </c>
      <c r="I6" s="2" t="s">
        <v>33</v>
      </c>
      <c r="J6" s="4">
        <v>83.64</v>
      </c>
      <c r="K6" s="2">
        <v>1</v>
      </c>
      <c r="L6" s="2" t="s">
        <v>26</v>
      </c>
      <c r="M6" s="2" t="s">
        <v>39</v>
      </c>
      <c r="N6" s="4">
        <f t="shared" si="1"/>
        <v>83.64</v>
      </c>
      <c r="O6" s="2">
        <f>IF(AND(OR(Dashboard!$C$4="All",B6=Dashboard!$C$4),OR(Dashboard!$E$4="All",L6=Dashboard!$E$4)),1,0)</f>
        <v>1</v>
      </c>
    </row>
    <row r="7" spans="1:15">
      <c r="A7" s="2">
        <v>100006</v>
      </c>
      <c r="B7" s="2" t="s">
        <v>15</v>
      </c>
      <c r="C7" s="2" t="s">
        <v>40</v>
      </c>
      <c r="D7" s="2" t="s">
        <v>41</v>
      </c>
      <c r="E7" s="3">
        <v>45819</v>
      </c>
      <c r="F7" s="2" t="str">
        <f t="shared" si="0"/>
        <v>Jun-2025</v>
      </c>
      <c r="G7" s="2">
        <v>15</v>
      </c>
      <c r="H7" s="2" t="s">
        <v>24</v>
      </c>
      <c r="I7" s="2" t="s">
        <v>33</v>
      </c>
      <c r="J7" s="4">
        <v>101.12</v>
      </c>
      <c r="K7" s="2">
        <v>1</v>
      </c>
      <c r="L7" s="2" t="s">
        <v>26</v>
      </c>
      <c r="M7" s="2" t="s">
        <v>27</v>
      </c>
      <c r="N7" s="4">
        <f t="shared" si="1"/>
        <v>101.12</v>
      </c>
      <c r="O7" s="2">
        <f>IF(AND(OR(Dashboard!$C$4="All",B7=Dashboard!$C$4),OR(Dashboard!$E$4="All",L7=Dashboard!$E$4)),1,0)</f>
        <v>1</v>
      </c>
    </row>
    <row r="8" spans="1:15">
      <c r="A8" s="2">
        <v>100007</v>
      </c>
      <c r="B8" s="2" t="s">
        <v>15</v>
      </c>
      <c r="C8" s="2" t="s">
        <v>42</v>
      </c>
      <c r="D8" s="2" t="s">
        <v>17</v>
      </c>
      <c r="E8" s="3">
        <v>45748</v>
      </c>
      <c r="F8" s="2" t="str">
        <f t="shared" si="0"/>
        <v>Apr-2025</v>
      </c>
      <c r="G8" s="2">
        <v>15</v>
      </c>
      <c r="H8" s="2" t="s">
        <v>24</v>
      </c>
      <c r="I8" s="2" t="s">
        <v>43</v>
      </c>
      <c r="J8" s="4">
        <v>122.26</v>
      </c>
      <c r="K8" s="2">
        <v>4</v>
      </c>
      <c r="L8" s="2" t="s">
        <v>26</v>
      </c>
      <c r="M8" s="2" t="s">
        <v>21</v>
      </c>
      <c r="N8" s="4">
        <f t="shared" si="1"/>
        <v>489.04</v>
      </c>
      <c r="O8" s="2">
        <f>IF(AND(OR(Dashboard!$C$4="All",B8=Dashboard!$C$4),OR(Dashboard!$E$4="All",L8=Dashboard!$E$4)),1,0)</f>
        <v>1</v>
      </c>
    </row>
    <row r="9" spans="1:15">
      <c r="A9" s="2">
        <v>100008</v>
      </c>
      <c r="B9" s="2" t="s">
        <v>35</v>
      </c>
      <c r="C9" s="2" t="s">
        <v>44</v>
      </c>
      <c r="D9" s="2" t="s">
        <v>17</v>
      </c>
      <c r="E9" s="3">
        <v>45831</v>
      </c>
      <c r="F9" s="2" t="str">
        <f t="shared" si="0"/>
        <v>Jun-2025</v>
      </c>
      <c r="G9" s="2">
        <v>26</v>
      </c>
      <c r="H9" s="2" t="s">
        <v>24</v>
      </c>
      <c r="I9" s="2" t="s">
        <v>33</v>
      </c>
      <c r="J9" s="4">
        <v>200.2</v>
      </c>
      <c r="K9" s="2">
        <v>6</v>
      </c>
      <c r="L9" s="2" t="s">
        <v>26</v>
      </c>
      <c r="M9" s="2" t="s">
        <v>34</v>
      </c>
      <c r="N9" s="4">
        <f t="shared" si="1"/>
        <v>1201.1999999999998</v>
      </c>
      <c r="O9" s="2">
        <f>IF(AND(OR(Dashboard!$C$4="All",B9=Dashboard!$C$4),OR(Dashboard!$E$4="All",L9=Dashboard!$E$4)),1,0)</f>
        <v>1</v>
      </c>
    </row>
    <row r="10" spans="1:15">
      <c r="A10" s="2">
        <v>100009</v>
      </c>
      <c r="B10" s="2" t="s">
        <v>15</v>
      </c>
      <c r="C10" s="2" t="s">
        <v>31</v>
      </c>
      <c r="D10" s="2" t="s">
        <v>45</v>
      </c>
      <c r="E10" s="3">
        <v>45785</v>
      </c>
      <c r="F10" s="2" t="str">
        <f t="shared" si="0"/>
        <v>May-2025</v>
      </c>
      <c r="G10" s="2">
        <v>36</v>
      </c>
      <c r="H10" s="2" t="s">
        <v>46</v>
      </c>
      <c r="I10" s="2" t="s">
        <v>47</v>
      </c>
      <c r="J10" s="4">
        <v>200.2</v>
      </c>
      <c r="K10" s="2">
        <v>10</v>
      </c>
      <c r="L10" s="2" t="s">
        <v>26</v>
      </c>
      <c r="M10" s="2" t="s">
        <v>39</v>
      </c>
      <c r="N10" s="4">
        <f t="shared" si="1"/>
        <v>2002</v>
      </c>
      <c r="O10" s="2">
        <f>IF(AND(OR(Dashboard!$C$4="All",B10=Dashboard!$C$4),OR(Dashboard!$E$4="All",L10=Dashboard!$E$4)),1,0)</f>
        <v>1</v>
      </c>
    </row>
    <row r="11" spans="1:15">
      <c r="A11" s="2">
        <v>100010</v>
      </c>
      <c r="B11" s="2" t="s">
        <v>35</v>
      </c>
      <c r="C11" s="2" t="s">
        <v>48</v>
      </c>
      <c r="D11" s="2" t="s">
        <v>29</v>
      </c>
      <c r="E11" s="3">
        <v>45695</v>
      </c>
      <c r="F11" s="2" t="str">
        <f t="shared" si="0"/>
        <v>Feb-2025</v>
      </c>
      <c r="G11" s="2">
        <v>69</v>
      </c>
      <c r="H11" s="2" t="s">
        <v>46</v>
      </c>
      <c r="I11" s="2" t="s">
        <v>47</v>
      </c>
      <c r="J11" s="4">
        <v>169.69</v>
      </c>
      <c r="K11" s="2">
        <v>5</v>
      </c>
      <c r="L11" s="2" t="s">
        <v>26</v>
      </c>
      <c r="M11" s="2" t="s">
        <v>21</v>
      </c>
      <c r="N11" s="4">
        <f t="shared" si="1"/>
        <v>848.45</v>
      </c>
      <c r="O11" s="2">
        <f>IF(AND(OR(Dashboard!$C$4="All",B11=Dashboard!$C$4),OR(Dashboard!$E$4="All",L11=Dashboard!$E$4)),1,0)</f>
        <v>1</v>
      </c>
    </row>
    <row r="12" spans="1:15">
      <c r="A12" s="2">
        <v>100011</v>
      </c>
      <c r="B12" s="2" t="s">
        <v>35</v>
      </c>
      <c r="C12" s="2" t="s">
        <v>44</v>
      </c>
      <c r="D12" s="2" t="s">
        <v>37</v>
      </c>
      <c r="E12" s="3">
        <v>45663</v>
      </c>
      <c r="F12" s="2" t="str">
        <f t="shared" si="0"/>
        <v>Jan-2025</v>
      </c>
      <c r="G12" s="2">
        <v>49</v>
      </c>
      <c r="H12" s="2" t="s">
        <v>18</v>
      </c>
      <c r="I12" s="2" t="s">
        <v>33</v>
      </c>
      <c r="J12" s="4">
        <v>200.2</v>
      </c>
      <c r="K12" s="2">
        <v>8</v>
      </c>
      <c r="L12" s="2" t="s">
        <v>26</v>
      </c>
      <c r="M12" s="2" t="s">
        <v>34</v>
      </c>
      <c r="N12" s="4">
        <f t="shared" si="1"/>
        <v>1601.6</v>
      </c>
      <c r="O12" s="2">
        <f>IF(AND(OR(Dashboard!$C$4="All",B12=Dashboard!$C$4),OR(Dashboard!$E$4="All",L12=Dashboard!$E$4)),1,0)</f>
        <v>1</v>
      </c>
    </row>
    <row r="13" spans="1:15">
      <c r="A13" s="2">
        <v>100012</v>
      </c>
      <c r="B13" s="2" t="s">
        <v>15</v>
      </c>
      <c r="C13" s="2" t="s">
        <v>28</v>
      </c>
      <c r="D13" s="2" t="s">
        <v>49</v>
      </c>
      <c r="E13" s="3">
        <v>45685</v>
      </c>
      <c r="F13" s="2" t="str">
        <f t="shared" si="0"/>
        <v>Jan-2025</v>
      </c>
      <c r="G13" s="2">
        <v>24</v>
      </c>
      <c r="H13" s="2" t="s">
        <v>18</v>
      </c>
      <c r="I13" s="2" t="s">
        <v>19</v>
      </c>
      <c r="J13" s="4">
        <v>77.67</v>
      </c>
      <c r="K13" s="2">
        <v>4</v>
      </c>
      <c r="L13" s="2" t="s">
        <v>26</v>
      </c>
      <c r="M13" s="2" t="s">
        <v>34</v>
      </c>
      <c r="N13" s="4">
        <f t="shared" si="1"/>
        <v>310.68</v>
      </c>
      <c r="O13" s="2">
        <f>IF(AND(OR(Dashboard!$C$4="All",B13=Dashboard!$C$4),OR(Dashboard!$E$4="All",L13=Dashboard!$E$4)),1,0)</f>
        <v>1</v>
      </c>
    </row>
    <row r="14" spans="1:15">
      <c r="A14" s="2">
        <v>100013</v>
      </c>
      <c r="B14" s="2" t="s">
        <v>15</v>
      </c>
      <c r="C14" s="2" t="s">
        <v>50</v>
      </c>
      <c r="D14" s="2" t="s">
        <v>51</v>
      </c>
      <c r="E14" s="3">
        <v>45741</v>
      </c>
      <c r="F14" s="2" t="str">
        <f t="shared" si="0"/>
        <v>Mar-2025</v>
      </c>
      <c r="G14" s="2">
        <v>120</v>
      </c>
      <c r="H14" s="2" t="s">
        <v>18</v>
      </c>
      <c r="I14" s="2" t="s">
        <v>25</v>
      </c>
      <c r="J14" s="4">
        <v>179.15</v>
      </c>
      <c r="K14" s="2">
        <v>10</v>
      </c>
      <c r="L14" s="2" t="s">
        <v>26</v>
      </c>
      <c r="M14" s="2" t="s">
        <v>21</v>
      </c>
      <c r="N14" s="4">
        <f t="shared" si="1"/>
        <v>1791.5</v>
      </c>
      <c r="O14" s="2">
        <f>IF(AND(OR(Dashboard!$C$4="All",B14=Dashboard!$C$4),OR(Dashboard!$E$4="All",L14=Dashboard!$E$4)),1,0)</f>
        <v>1</v>
      </c>
    </row>
    <row r="15" spans="1:15">
      <c r="A15" s="2">
        <v>100014</v>
      </c>
      <c r="B15" s="2" t="s">
        <v>15</v>
      </c>
      <c r="C15" s="2" t="s">
        <v>40</v>
      </c>
      <c r="D15" s="2" t="s">
        <v>41</v>
      </c>
      <c r="E15" s="3">
        <v>45812</v>
      </c>
      <c r="F15" s="2" t="str">
        <f t="shared" si="0"/>
        <v>Jun-2025</v>
      </c>
      <c r="G15" s="2">
        <v>113</v>
      </c>
      <c r="H15" s="2" t="s">
        <v>30</v>
      </c>
      <c r="I15" s="2" t="s">
        <v>43</v>
      </c>
      <c r="J15" s="4">
        <v>90.01</v>
      </c>
      <c r="K15" s="2">
        <v>2</v>
      </c>
      <c r="L15" s="2" t="s">
        <v>26</v>
      </c>
      <c r="M15" s="2" t="s">
        <v>39</v>
      </c>
      <c r="N15" s="4">
        <f t="shared" si="1"/>
        <v>180.02</v>
      </c>
      <c r="O15" s="2">
        <f>IF(AND(OR(Dashboard!$C$4="All",B15=Dashboard!$C$4),OR(Dashboard!$E$4="All",L15=Dashboard!$E$4)),1,0)</f>
        <v>1</v>
      </c>
    </row>
    <row r="16" spans="1:15">
      <c r="A16" s="2">
        <v>100015</v>
      </c>
      <c r="B16" s="2" t="s">
        <v>35</v>
      </c>
      <c r="C16" s="2" t="s">
        <v>28</v>
      </c>
      <c r="D16" s="2" t="s">
        <v>32</v>
      </c>
      <c r="E16" s="3">
        <v>45741</v>
      </c>
      <c r="F16" s="2" t="str">
        <f t="shared" si="0"/>
        <v>Mar-2025</v>
      </c>
      <c r="G16" s="2">
        <v>17</v>
      </c>
      <c r="H16" s="2" t="s">
        <v>24</v>
      </c>
      <c r="I16" s="2" t="s">
        <v>47</v>
      </c>
      <c r="J16" s="4">
        <v>200.2</v>
      </c>
      <c r="K16" s="2">
        <v>9</v>
      </c>
      <c r="L16" s="2" t="s">
        <v>26</v>
      </c>
      <c r="M16" s="2" t="s">
        <v>34</v>
      </c>
      <c r="N16" s="4">
        <f t="shared" si="1"/>
        <v>1801.8</v>
      </c>
      <c r="O16" s="2">
        <f>IF(AND(OR(Dashboard!$C$4="All",B16=Dashboard!$C$4),OR(Dashboard!$E$4="All",L16=Dashboard!$E$4)),1,0)</f>
        <v>1</v>
      </c>
    </row>
    <row r="17" spans="1:15">
      <c r="A17" s="2">
        <v>100016</v>
      </c>
      <c r="B17" s="2" t="s">
        <v>15</v>
      </c>
      <c r="C17" s="2" t="s">
        <v>52</v>
      </c>
      <c r="D17" s="2" t="s">
        <v>29</v>
      </c>
      <c r="E17" s="3">
        <v>45816</v>
      </c>
      <c r="F17" s="2" t="str">
        <f t="shared" si="0"/>
        <v>Jun-2025</v>
      </c>
      <c r="G17" s="2">
        <v>86</v>
      </c>
      <c r="H17" s="2" t="s">
        <v>18</v>
      </c>
      <c r="I17" s="2" t="s">
        <v>43</v>
      </c>
      <c r="J17" s="4">
        <v>262.83</v>
      </c>
      <c r="K17" s="2">
        <v>7</v>
      </c>
      <c r="L17" s="2" t="s">
        <v>26</v>
      </c>
      <c r="M17" s="2" t="s">
        <v>39</v>
      </c>
      <c r="N17" s="4">
        <f t="shared" si="1"/>
        <v>1839.81</v>
      </c>
      <c r="O17" s="2">
        <f>IF(AND(OR(Dashboard!$C$4="All",B17=Dashboard!$C$4),OR(Dashboard!$E$4="All",L17=Dashboard!$E$4)),1,0)</f>
        <v>1</v>
      </c>
    </row>
    <row r="18" spans="1:15">
      <c r="A18" s="2">
        <v>100017</v>
      </c>
      <c r="B18" s="2" t="s">
        <v>15</v>
      </c>
      <c r="C18" s="2" t="s">
        <v>53</v>
      </c>
      <c r="D18" s="2" t="s">
        <v>54</v>
      </c>
      <c r="E18" s="3">
        <v>45812</v>
      </c>
      <c r="F18" s="2" t="str">
        <f t="shared" si="0"/>
        <v>Jun-2025</v>
      </c>
      <c r="G18" s="2">
        <v>49</v>
      </c>
      <c r="H18" s="2" t="s">
        <v>18</v>
      </c>
      <c r="I18" s="2" t="s">
        <v>33</v>
      </c>
      <c r="J18" s="4">
        <v>117.83</v>
      </c>
      <c r="K18" s="2">
        <v>8</v>
      </c>
      <c r="L18" s="2" t="s">
        <v>26</v>
      </c>
      <c r="M18" s="2" t="s">
        <v>39</v>
      </c>
      <c r="N18" s="4">
        <f t="shared" si="1"/>
        <v>942.64</v>
      </c>
      <c r="O18" s="2">
        <f>IF(AND(OR(Dashboard!$C$4="All",B18=Dashboard!$C$4),OR(Dashboard!$E$4="All",L18=Dashboard!$E$4)),1,0)</f>
        <v>1</v>
      </c>
    </row>
    <row r="19" spans="1:15">
      <c r="A19" s="2">
        <v>100018</v>
      </c>
      <c r="B19" s="2" t="s">
        <v>15</v>
      </c>
      <c r="C19" s="2" t="s">
        <v>48</v>
      </c>
      <c r="D19" s="2" t="s">
        <v>41</v>
      </c>
      <c r="E19" s="3">
        <v>45707</v>
      </c>
      <c r="F19" s="2" t="str">
        <f t="shared" si="0"/>
        <v>Feb-2025</v>
      </c>
      <c r="G19" s="2">
        <v>49</v>
      </c>
      <c r="H19" s="2" t="s">
        <v>18</v>
      </c>
      <c r="I19" s="2" t="s">
        <v>25</v>
      </c>
      <c r="J19" s="4">
        <v>215.11</v>
      </c>
      <c r="K19" s="2">
        <v>6</v>
      </c>
      <c r="L19" s="2" t="s">
        <v>26</v>
      </c>
      <c r="M19" s="2" t="s">
        <v>27</v>
      </c>
      <c r="N19" s="4">
        <f t="shared" si="1"/>
        <v>1290.6600000000001</v>
      </c>
      <c r="O19" s="2">
        <f>IF(AND(OR(Dashboard!$C$4="All",B19=Dashboard!$C$4),OR(Dashboard!$E$4="All",L19=Dashboard!$E$4)),1,0)</f>
        <v>1</v>
      </c>
    </row>
    <row r="20" spans="1:15">
      <c r="A20" s="2">
        <v>100019</v>
      </c>
      <c r="B20" s="2" t="s">
        <v>15</v>
      </c>
      <c r="C20" s="2" t="s">
        <v>31</v>
      </c>
      <c r="D20" s="2" t="s">
        <v>55</v>
      </c>
      <c r="E20" s="3">
        <v>45738</v>
      </c>
      <c r="F20" s="2" t="str">
        <f t="shared" si="0"/>
        <v>Mar-2025</v>
      </c>
      <c r="G20" s="2">
        <v>49</v>
      </c>
      <c r="H20" s="2" t="s">
        <v>18</v>
      </c>
      <c r="I20" s="2" t="s">
        <v>43</v>
      </c>
      <c r="J20" s="4">
        <v>191.85</v>
      </c>
      <c r="K20" s="2">
        <v>7</v>
      </c>
      <c r="L20" s="2" t="s">
        <v>26</v>
      </c>
      <c r="M20" s="2" t="s">
        <v>27</v>
      </c>
      <c r="N20" s="4">
        <f t="shared" si="1"/>
        <v>1342.95</v>
      </c>
      <c r="O20" s="2">
        <f>IF(AND(OR(Dashboard!$C$4="All",B20=Dashboard!$C$4),OR(Dashboard!$E$4="All",L20=Dashboard!$E$4)),1,0)</f>
        <v>1</v>
      </c>
    </row>
    <row r="21" spans="1:15">
      <c r="A21" s="2">
        <v>100020</v>
      </c>
      <c r="B21" s="2" t="s">
        <v>35</v>
      </c>
      <c r="C21" s="2" t="s">
        <v>36</v>
      </c>
      <c r="D21" s="2" t="s">
        <v>55</v>
      </c>
      <c r="E21" s="3">
        <v>45819</v>
      </c>
      <c r="F21" s="2" t="str">
        <f t="shared" si="0"/>
        <v>Jun-2025</v>
      </c>
      <c r="G21" s="2">
        <v>60</v>
      </c>
      <c r="H21" s="2" t="s">
        <v>46</v>
      </c>
      <c r="I21" s="2" t="s">
        <v>33</v>
      </c>
      <c r="J21" s="4">
        <v>200.2</v>
      </c>
      <c r="K21" s="2">
        <v>9</v>
      </c>
      <c r="L21" s="2" t="s">
        <v>26</v>
      </c>
      <c r="M21" s="2" t="s">
        <v>39</v>
      </c>
      <c r="N21" s="4">
        <f t="shared" si="1"/>
        <v>1801.8</v>
      </c>
      <c r="O21" s="2">
        <f>IF(AND(OR(Dashboard!$C$4="All",B21=Dashboard!$C$4),OR(Dashboard!$E$4="All",L21=Dashboard!$E$4)),1,0)</f>
        <v>1</v>
      </c>
    </row>
    <row r="22" spans="1:15">
      <c r="A22" s="2">
        <v>100021</v>
      </c>
      <c r="B22" s="2" t="s">
        <v>15</v>
      </c>
      <c r="C22" s="2" t="s">
        <v>56</v>
      </c>
      <c r="D22" s="2" t="s">
        <v>55</v>
      </c>
      <c r="E22" s="3">
        <v>45672</v>
      </c>
      <c r="F22" s="2" t="str">
        <f t="shared" si="0"/>
        <v>Jan-2025</v>
      </c>
      <c r="G22" s="2">
        <v>54</v>
      </c>
      <c r="H22" s="2" t="s">
        <v>38</v>
      </c>
      <c r="I22" s="2" t="s">
        <v>47</v>
      </c>
      <c r="J22" s="4">
        <v>246.77</v>
      </c>
      <c r="K22" s="2">
        <v>7</v>
      </c>
      <c r="L22" s="2" t="s">
        <v>26</v>
      </c>
      <c r="M22" s="2" t="s">
        <v>39</v>
      </c>
      <c r="N22" s="4">
        <f t="shared" si="1"/>
        <v>1727.39</v>
      </c>
      <c r="O22" s="2">
        <f>IF(AND(OR(Dashboard!$C$4="All",B22=Dashboard!$C$4),OR(Dashboard!$E$4="All",L22=Dashboard!$E$4)),1,0)</f>
        <v>1</v>
      </c>
    </row>
    <row r="23" spans="1:15">
      <c r="A23" s="2">
        <v>100022</v>
      </c>
      <c r="B23" s="2" t="s">
        <v>15</v>
      </c>
      <c r="C23" s="2" t="s">
        <v>48</v>
      </c>
      <c r="D23" s="2" t="s">
        <v>51</v>
      </c>
      <c r="E23" s="3">
        <v>45714</v>
      </c>
      <c r="F23" s="2" t="str">
        <f t="shared" si="0"/>
        <v>Feb-2025</v>
      </c>
      <c r="G23" s="2">
        <v>60</v>
      </c>
      <c r="H23" s="2" t="s">
        <v>38</v>
      </c>
      <c r="I23" s="2" t="s">
        <v>19</v>
      </c>
      <c r="J23" s="4">
        <v>214.82</v>
      </c>
      <c r="K23" s="2">
        <v>8</v>
      </c>
      <c r="L23" s="2" t="s">
        <v>26</v>
      </c>
      <c r="M23" s="2" t="s">
        <v>34</v>
      </c>
      <c r="N23" s="4">
        <f t="shared" si="1"/>
        <v>1718.56</v>
      </c>
      <c r="O23" s="2">
        <f>IF(AND(OR(Dashboard!$C$4="All",B23=Dashboard!$C$4),OR(Dashboard!$E$4="All",L23=Dashboard!$E$4)),1,0)</f>
        <v>1</v>
      </c>
    </row>
    <row r="24" spans="1:15">
      <c r="A24" s="2">
        <v>100023</v>
      </c>
      <c r="B24" s="2" t="s">
        <v>15</v>
      </c>
      <c r="C24" s="2" t="s">
        <v>53</v>
      </c>
      <c r="D24" s="2" t="s">
        <v>51</v>
      </c>
      <c r="E24" s="3">
        <v>45680</v>
      </c>
      <c r="F24" s="2" t="str">
        <f t="shared" si="0"/>
        <v>Jan-2025</v>
      </c>
      <c r="G24" s="2">
        <v>37</v>
      </c>
      <c r="H24" s="2" t="s">
        <v>30</v>
      </c>
      <c r="I24" s="2" t="s">
        <v>43</v>
      </c>
      <c r="J24" s="4">
        <v>147.32</v>
      </c>
      <c r="K24" s="2">
        <v>9</v>
      </c>
      <c r="L24" s="2" t="s">
        <v>20</v>
      </c>
      <c r="M24" s="2" t="s">
        <v>39</v>
      </c>
      <c r="N24" s="4">
        <f t="shared" si="1"/>
        <v>1325.8799999999999</v>
      </c>
      <c r="O24" s="2">
        <f>IF(AND(OR(Dashboard!$C$4="All",B24=Dashboard!$C$4),OR(Dashboard!$E$4="All",L24=Dashboard!$E$4)),1,0)</f>
        <v>0</v>
      </c>
    </row>
    <row r="25" spans="1:15">
      <c r="A25" s="2">
        <v>100024</v>
      </c>
      <c r="B25" s="2" t="s">
        <v>15</v>
      </c>
      <c r="C25" s="2" t="s">
        <v>36</v>
      </c>
      <c r="D25" s="2" t="s">
        <v>37</v>
      </c>
      <c r="E25" s="3">
        <v>45748</v>
      </c>
      <c r="F25" s="2" t="str">
        <f t="shared" si="0"/>
        <v>Apr-2025</v>
      </c>
      <c r="G25" s="2">
        <v>46</v>
      </c>
      <c r="H25" s="2" t="s">
        <v>24</v>
      </c>
      <c r="I25" s="2" t="s">
        <v>33</v>
      </c>
      <c r="J25" s="4">
        <v>281.89999999999998</v>
      </c>
      <c r="K25" s="2">
        <v>7</v>
      </c>
      <c r="L25" s="2" t="s">
        <v>26</v>
      </c>
      <c r="M25" s="2" t="s">
        <v>34</v>
      </c>
      <c r="N25" s="4">
        <f t="shared" si="1"/>
        <v>1973.2999999999997</v>
      </c>
      <c r="O25" s="2">
        <f>IF(AND(OR(Dashboard!$C$4="All",B25=Dashboard!$C$4),OR(Dashboard!$E$4="All",L25=Dashboard!$E$4)),1,0)</f>
        <v>1</v>
      </c>
    </row>
    <row r="26" spans="1:15">
      <c r="A26" s="2">
        <v>100025</v>
      </c>
      <c r="B26" s="2" t="s">
        <v>15</v>
      </c>
      <c r="C26" s="2" t="s">
        <v>57</v>
      </c>
      <c r="D26" s="2" t="s">
        <v>55</v>
      </c>
      <c r="E26" s="3">
        <v>45799</v>
      </c>
      <c r="F26" s="2" t="str">
        <f t="shared" si="0"/>
        <v>May-2025</v>
      </c>
      <c r="G26" s="2">
        <v>4</v>
      </c>
      <c r="H26" s="2" t="s">
        <v>18</v>
      </c>
      <c r="I26" s="2" t="s">
        <v>33</v>
      </c>
      <c r="J26" s="4">
        <v>95.28</v>
      </c>
      <c r="K26" s="2">
        <v>8</v>
      </c>
      <c r="L26" s="2" t="s">
        <v>20</v>
      </c>
      <c r="M26" s="2" t="s">
        <v>27</v>
      </c>
      <c r="N26" s="4">
        <f t="shared" si="1"/>
        <v>762.24</v>
      </c>
      <c r="O26" s="2">
        <f>IF(AND(OR(Dashboard!$C$4="All",B26=Dashboard!$C$4),OR(Dashboard!$E$4="All",L26=Dashboard!$E$4)),1,0)</f>
        <v>0</v>
      </c>
    </row>
    <row r="27" spans="1:15">
      <c r="A27" s="2">
        <v>100026</v>
      </c>
      <c r="B27" s="2" t="s">
        <v>15</v>
      </c>
      <c r="C27" s="2" t="s">
        <v>52</v>
      </c>
      <c r="D27" s="2" t="s">
        <v>29</v>
      </c>
      <c r="E27" s="3">
        <v>45811</v>
      </c>
      <c r="F27" s="2" t="str">
        <f t="shared" si="0"/>
        <v>Jun-2025</v>
      </c>
      <c r="G27" s="2">
        <v>100</v>
      </c>
      <c r="H27" s="2" t="s">
        <v>18</v>
      </c>
      <c r="I27" s="2" t="s">
        <v>25</v>
      </c>
      <c r="J27" s="4">
        <v>306.89999999999998</v>
      </c>
      <c r="K27" s="2">
        <v>4</v>
      </c>
      <c r="L27" s="2" t="s">
        <v>26</v>
      </c>
      <c r="M27" s="2" t="s">
        <v>34</v>
      </c>
      <c r="N27" s="4">
        <f t="shared" si="1"/>
        <v>1227.5999999999999</v>
      </c>
      <c r="O27" s="2">
        <f>IF(AND(OR(Dashboard!$C$4="All",B27=Dashboard!$C$4),OR(Dashboard!$E$4="All",L27=Dashboard!$E$4)),1,0)</f>
        <v>1</v>
      </c>
    </row>
    <row r="28" spans="1:15">
      <c r="A28" s="2">
        <v>100027</v>
      </c>
      <c r="B28" s="2" t="s">
        <v>15</v>
      </c>
      <c r="C28" s="2" t="s">
        <v>50</v>
      </c>
      <c r="D28" s="2" t="s">
        <v>45</v>
      </c>
      <c r="E28" s="3">
        <v>45778</v>
      </c>
      <c r="F28" s="2" t="str">
        <f t="shared" si="0"/>
        <v>May-2025</v>
      </c>
      <c r="G28" s="2">
        <v>119</v>
      </c>
      <c r="H28" s="2" t="s">
        <v>24</v>
      </c>
      <c r="I28" s="2" t="s">
        <v>19</v>
      </c>
      <c r="J28" s="4">
        <v>200.2</v>
      </c>
      <c r="K28" s="2">
        <v>7</v>
      </c>
      <c r="L28" s="2" t="s">
        <v>26</v>
      </c>
      <c r="M28" s="2" t="s">
        <v>39</v>
      </c>
      <c r="N28" s="4">
        <f t="shared" si="1"/>
        <v>1401.3999999999999</v>
      </c>
      <c r="O28" s="2">
        <f>IF(AND(OR(Dashboard!$C$4="All",B28=Dashboard!$C$4),OR(Dashboard!$E$4="All",L28=Dashboard!$E$4)),1,0)</f>
        <v>1</v>
      </c>
    </row>
    <row r="29" spans="1:15">
      <c r="A29" s="2">
        <v>100028</v>
      </c>
      <c r="B29" s="2" t="s">
        <v>35</v>
      </c>
      <c r="C29" s="2" t="s">
        <v>52</v>
      </c>
      <c r="D29" s="2" t="s">
        <v>45</v>
      </c>
      <c r="E29" s="3">
        <v>45798</v>
      </c>
      <c r="F29" s="2" t="str">
        <f t="shared" si="0"/>
        <v>May-2025</v>
      </c>
      <c r="G29" s="2">
        <v>44</v>
      </c>
      <c r="H29" s="2" t="s">
        <v>18</v>
      </c>
      <c r="I29" s="2" t="s">
        <v>33</v>
      </c>
      <c r="J29" s="4">
        <v>273.81</v>
      </c>
      <c r="K29" s="2">
        <v>2</v>
      </c>
      <c r="L29" s="2" t="s">
        <v>26</v>
      </c>
      <c r="M29" s="2" t="s">
        <v>27</v>
      </c>
      <c r="N29" s="4">
        <f t="shared" si="1"/>
        <v>547.62</v>
      </c>
      <c r="O29" s="2">
        <f>IF(AND(OR(Dashboard!$C$4="All",B29=Dashboard!$C$4),OR(Dashboard!$E$4="All",L29=Dashboard!$E$4)),1,0)</f>
        <v>1</v>
      </c>
    </row>
    <row r="30" spans="1:15">
      <c r="A30" s="2">
        <v>100029</v>
      </c>
      <c r="B30" s="2" t="s">
        <v>35</v>
      </c>
      <c r="C30" s="2" t="s">
        <v>31</v>
      </c>
      <c r="D30" s="2" t="s">
        <v>29</v>
      </c>
      <c r="E30" s="3">
        <v>45666</v>
      </c>
      <c r="F30" s="2" t="str">
        <f t="shared" si="0"/>
        <v>Jan-2025</v>
      </c>
      <c r="G30" s="2">
        <v>113</v>
      </c>
      <c r="H30" s="2" t="s">
        <v>46</v>
      </c>
      <c r="I30" s="2" t="s">
        <v>47</v>
      </c>
      <c r="J30" s="4">
        <v>255.12</v>
      </c>
      <c r="K30" s="2">
        <v>10</v>
      </c>
      <c r="L30" s="2" t="s">
        <v>26</v>
      </c>
      <c r="M30" s="2" t="s">
        <v>58</v>
      </c>
      <c r="N30" s="4">
        <f t="shared" si="1"/>
        <v>2551.1999999999998</v>
      </c>
      <c r="O30" s="2">
        <f>IF(AND(OR(Dashboard!$C$4="All",B30=Dashboard!$C$4),OR(Dashboard!$E$4="All",L30=Dashboard!$E$4)),1,0)</f>
        <v>1</v>
      </c>
    </row>
    <row r="31" spans="1:15">
      <c r="A31" s="2">
        <v>100030</v>
      </c>
      <c r="B31" s="2" t="s">
        <v>15</v>
      </c>
      <c r="C31" s="2" t="s">
        <v>59</v>
      </c>
      <c r="D31" s="2" t="s">
        <v>29</v>
      </c>
      <c r="E31" s="3">
        <v>45822</v>
      </c>
      <c r="F31" s="2" t="str">
        <f t="shared" si="0"/>
        <v>Jun-2025</v>
      </c>
      <c r="G31" s="2">
        <v>63</v>
      </c>
      <c r="H31" s="2" t="s">
        <v>38</v>
      </c>
      <c r="I31" s="2" t="s">
        <v>47</v>
      </c>
      <c r="J31" s="4">
        <v>239.56</v>
      </c>
      <c r="K31" s="2">
        <v>8</v>
      </c>
      <c r="L31" s="2" t="s">
        <v>26</v>
      </c>
      <c r="M31" s="2" t="s">
        <v>21</v>
      </c>
      <c r="N31" s="4">
        <f t="shared" si="1"/>
        <v>1916.48</v>
      </c>
      <c r="O31" s="2">
        <f>IF(AND(OR(Dashboard!$C$4="All",B31=Dashboard!$C$4),OR(Dashboard!$E$4="All",L31=Dashboard!$E$4)),1,0)</f>
        <v>1</v>
      </c>
    </row>
    <row r="32" spans="1:15">
      <c r="A32" s="2">
        <v>100031</v>
      </c>
      <c r="B32" s="2" t="s">
        <v>35</v>
      </c>
      <c r="C32" s="2" t="s">
        <v>53</v>
      </c>
      <c r="D32" s="2" t="s">
        <v>41</v>
      </c>
      <c r="E32" s="3">
        <v>45724</v>
      </c>
      <c r="F32" s="2" t="str">
        <f t="shared" si="0"/>
        <v>Mar-2025</v>
      </c>
      <c r="G32" s="2">
        <v>16</v>
      </c>
      <c r="H32" s="2" t="s">
        <v>30</v>
      </c>
      <c r="I32" s="2" t="s">
        <v>43</v>
      </c>
      <c r="J32" s="4">
        <v>91.08</v>
      </c>
      <c r="K32" s="2">
        <v>9</v>
      </c>
      <c r="L32" s="2" t="s">
        <v>26</v>
      </c>
      <c r="M32" s="2" t="s">
        <v>39</v>
      </c>
      <c r="N32" s="4">
        <f t="shared" si="1"/>
        <v>819.72</v>
      </c>
      <c r="O32" s="2">
        <f>IF(AND(OR(Dashboard!$C$4="All",B32=Dashboard!$C$4),OR(Dashboard!$E$4="All",L32=Dashboard!$E$4)),1,0)</f>
        <v>1</v>
      </c>
    </row>
    <row r="33" spans="1:15">
      <c r="A33" s="2">
        <v>100032</v>
      </c>
      <c r="B33" s="2" t="s">
        <v>15</v>
      </c>
      <c r="C33" s="2" t="s">
        <v>40</v>
      </c>
      <c r="D33" s="2" t="s">
        <v>54</v>
      </c>
      <c r="E33" s="3">
        <v>45718</v>
      </c>
      <c r="F33" s="2" t="str">
        <f t="shared" si="0"/>
        <v>Mar-2025</v>
      </c>
      <c r="G33" s="2">
        <v>7</v>
      </c>
      <c r="H33" s="2" t="s">
        <v>38</v>
      </c>
      <c r="I33" s="2" t="s">
        <v>43</v>
      </c>
      <c r="J33" s="4">
        <v>241.33</v>
      </c>
      <c r="K33" s="2">
        <v>3</v>
      </c>
      <c r="L33" s="2" t="s">
        <v>26</v>
      </c>
      <c r="M33" s="2" t="s">
        <v>58</v>
      </c>
      <c r="N33" s="4">
        <f t="shared" si="1"/>
        <v>723.99</v>
      </c>
      <c r="O33" s="2">
        <f>IF(AND(OR(Dashboard!$C$4="All",B33=Dashboard!$C$4),OR(Dashboard!$E$4="All",L33=Dashboard!$E$4)),1,0)</f>
        <v>1</v>
      </c>
    </row>
    <row r="34" spans="1:15">
      <c r="A34" s="2">
        <v>100033</v>
      </c>
      <c r="B34" s="2" t="s">
        <v>15</v>
      </c>
      <c r="C34" s="2" t="s">
        <v>36</v>
      </c>
      <c r="D34" s="2" t="s">
        <v>32</v>
      </c>
      <c r="E34" s="3">
        <v>45693</v>
      </c>
      <c r="F34" s="2" t="str">
        <f t="shared" si="0"/>
        <v>Feb-2025</v>
      </c>
      <c r="G34" s="2">
        <v>104</v>
      </c>
      <c r="H34" s="2" t="s">
        <v>38</v>
      </c>
      <c r="I34" s="2" t="s">
        <v>43</v>
      </c>
      <c r="J34" s="4">
        <v>82.15</v>
      </c>
      <c r="K34" s="2">
        <v>4</v>
      </c>
      <c r="L34" s="2" t="s">
        <v>20</v>
      </c>
      <c r="M34" s="2" t="s">
        <v>58</v>
      </c>
      <c r="N34" s="4">
        <f t="shared" si="1"/>
        <v>328.6</v>
      </c>
      <c r="O34" s="2">
        <f>IF(AND(OR(Dashboard!$C$4="All",B34=Dashboard!$C$4),OR(Dashboard!$E$4="All",L34=Dashboard!$E$4)),1,0)</f>
        <v>0</v>
      </c>
    </row>
    <row r="35" spans="1:15">
      <c r="A35" s="2">
        <v>100034</v>
      </c>
      <c r="B35" s="2" t="s">
        <v>15</v>
      </c>
      <c r="C35" s="2" t="s">
        <v>44</v>
      </c>
      <c r="D35" s="2" t="s">
        <v>29</v>
      </c>
      <c r="E35" s="3">
        <v>45738</v>
      </c>
      <c r="F35" s="2" t="str">
        <f t="shared" si="0"/>
        <v>Mar-2025</v>
      </c>
      <c r="G35" s="2">
        <v>11</v>
      </c>
      <c r="H35" s="2" t="s">
        <v>30</v>
      </c>
      <c r="I35" s="2" t="s">
        <v>47</v>
      </c>
      <c r="J35" s="4">
        <v>105.19</v>
      </c>
      <c r="K35" s="2">
        <v>2</v>
      </c>
      <c r="L35" s="2" t="s">
        <v>20</v>
      </c>
      <c r="M35" s="2" t="s">
        <v>58</v>
      </c>
      <c r="N35" s="4">
        <f t="shared" si="1"/>
        <v>210.38</v>
      </c>
      <c r="O35" s="2">
        <f>IF(AND(OR(Dashboard!$C$4="All",B35=Dashboard!$C$4),OR(Dashboard!$E$4="All",L35=Dashboard!$E$4)),1,0)</f>
        <v>0</v>
      </c>
    </row>
    <row r="36" spans="1:15">
      <c r="A36" s="2">
        <v>100035</v>
      </c>
      <c r="B36" s="2" t="s">
        <v>15</v>
      </c>
      <c r="C36" s="2" t="s">
        <v>22</v>
      </c>
      <c r="D36" s="2" t="s">
        <v>45</v>
      </c>
      <c r="E36" s="3">
        <v>45785</v>
      </c>
      <c r="F36" s="2" t="str">
        <f t="shared" si="0"/>
        <v>May-2025</v>
      </c>
      <c r="G36" s="2">
        <v>83</v>
      </c>
      <c r="H36" s="2" t="s">
        <v>30</v>
      </c>
      <c r="I36" s="2" t="s">
        <v>43</v>
      </c>
      <c r="J36" s="4">
        <v>274.92</v>
      </c>
      <c r="K36" s="2">
        <v>2</v>
      </c>
      <c r="L36" s="2" t="s">
        <v>20</v>
      </c>
      <c r="M36" s="2" t="s">
        <v>27</v>
      </c>
      <c r="N36" s="4">
        <f t="shared" si="1"/>
        <v>549.84</v>
      </c>
      <c r="O36" s="2">
        <f>IF(AND(OR(Dashboard!$C$4="All",B36=Dashboard!$C$4),OR(Dashboard!$E$4="All",L36=Dashboard!$E$4)),1,0)</f>
        <v>0</v>
      </c>
    </row>
    <row r="37" spans="1:15">
      <c r="A37" s="2">
        <v>100036</v>
      </c>
      <c r="B37" s="2" t="s">
        <v>15</v>
      </c>
      <c r="C37" s="2" t="s">
        <v>22</v>
      </c>
      <c r="D37" s="2" t="s">
        <v>23</v>
      </c>
      <c r="E37" s="3">
        <v>45786</v>
      </c>
      <c r="F37" s="2" t="str">
        <f t="shared" si="0"/>
        <v>May-2025</v>
      </c>
      <c r="G37" s="2">
        <v>4</v>
      </c>
      <c r="H37" s="2" t="s">
        <v>18</v>
      </c>
      <c r="I37" s="2" t="s">
        <v>47</v>
      </c>
      <c r="J37" s="4">
        <v>310.10000000000002</v>
      </c>
      <c r="K37" s="2">
        <v>10</v>
      </c>
      <c r="L37" s="2" t="s">
        <v>26</v>
      </c>
      <c r="M37" s="2" t="s">
        <v>21</v>
      </c>
      <c r="N37" s="4">
        <f t="shared" si="1"/>
        <v>3101</v>
      </c>
      <c r="O37" s="2">
        <f>IF(AND(OR(Dashboard!$C$4="All",B37=Dashboard!$C$4),OR(Dashboard!$E$4="All",L37=Dashboard!$E$4)),1,0)</f>
        <v>1</v>
      </c>
    </row>
    <row r="38" spans="1:15">
      <c r="A38" s="2">
        <v>100037</v>
      </c>
      <c r="B38" s="2" t="s">
        <v>35</v>
      </c>
      <c r="C38" s="2" t="s">
        <v>59</v>
      </c>
      <c r="D38" s="2" t="s">
        <v>51</v>
      </c>
      <c r="E38" s="3">
        <v>45730</v>
      </c>
      <c r="F38" s="2" t="str">
        <f t="shared" si="0"/>
        <v>Mar-2025</v>
      </c>
      <c r="G38" s="2">
        <v>43</v>
      </c>
      <c r="H38" s="2" t="s">
        <v>24</v>
      </c>
      <c r="I38" s="2" t="s">
        <v>25</v>
      </c>
      <c r="J38" s="4">
        <v>283.01</v>
      </c>
      <c r="K38" s="2">
        <v>6</v>
      </c>
      <c r="L38" s="2" t="s">
        <v>26</v>
      </c>
      <c r="M38" s="2" t="s">
        <v>58</v>
      </c>
      <c r="N38" s="4">
        <f t="shared" si="1"/>
        <v>1698.06</v>
      </c>
      <c r="O38" s="2">
        <f>IF(AND(OR(Dashboard!$C$4="All",B38=Dashboard!$C$4),OR(Dashboard!$E$4="All",L38=Dashboard!$E$4)),1,0)</f>
        <v>1</v>
      </c>
    </row>
    <row r="39" spans="1:15">
      <c r="A39" s="2">
        <v>100038</v>
      </c>
      <c r="B39" s="2" t="s">
        <v>15</v>
      </c>
      <c r="C39" s="2" t="s">
        <v>40</v>
      </c>
      <c r="D39" s="2" t="s">
        <v>51</v>
      </c>
      <c r="E39" s="3">
        <v>45749</v>
      </c>
      <c r="F39" s="2" t="str">
        <f t="shared" si="0"/>
        <v>Apr-2025</v>
      </c>
      <c r="G39" s="2">
        <v>49</v>
      </c>
      <c r="H39" s="2" t="s">
        <v>38</v>
      </c>
      <c r="I39" s="2" t="s">
        <v>43</v>
      </c>
      <c r="J39" s="4">
        <v>221.88</v>
      </c>
      <c r="K39" s="2">
        <v>8</v>
      </c>
      <c r="L39" s="2" t="s">
        <v>26</v>
      </c>
      <c r="M39" s="2" t="s">
        <v>21</v>
      </c>
      <c r="N39" s="4">
        <f t="shared" si="1"/>
        <v>1775.04</v>
      </c>
      <c r="O39" s="2">
        <f>IF(AND(OR(Dashboard!$C$4="All",B39=Dashboard!$C$4),OR(Dashboard!$E$4="All",L39=Dashboard!$E$4)),1,0)</f>
        <v>1</v>
      </c>
    </row>
    <row r="40" spans="1:15">
      <c r="A40" s="2">
        <v>100039</v>
      </c>
      <c r="B40" s="2" t="s">
        <v>15</v>
      </c>
      <c r="C40" s="2" t="s">
        <v>40</v>
      </c>
      <c r="D40" s="2" t="s">
        <v>37</v>
      </c>
      <c r="E40" s="3">
        <v>45665</v>
      </c>
      <c r="F40" s="2" t="str">
        <f t="shared" si="0"/>
        <v>Jan-2025</v>
      </c>
      <c r="G40" s="2">
        <v>108</v>
      </c>
      <c r="H40" s="2" t="s">
        <v>18</v>
      </c>
      <c r="I40" s="2" t="s">
        <v>33</v>
      </c>
      <c r="J40" s="4">
        <v>306.24</v>
      </c>
      <c r="K40" s="2">
        <v>3</v>
      </c>
      <c r="L40" s="2" t="s">
        <v>26</v>
      </c>
      <c r="M40" s="2" t="s">
        <v>27</v>
      </c>
      <c r="N40" s="4">
        <f t="shared" si="1"/>
        <v>918.72</v>
      </c>
      <c r="O40" s="2">
        <f>IF(AND(OR(Dashboard!$C$4="All",B40=Dashboard!$C$4),OR(Dashboard!$E$4="All",L40=Dashboard!$E$4)),1,0)</f>
        <v>1</v>
      </c>
    </row>
    <row r="41" spans="1:15">
      <c r="A41" s="2">
        <v>100040</v>
      </c>
      <c r="B41" s="2" t="s">
        <v>35</v>
      </c>
      <c r="C41" s="2" t="s">
        <v>22</v>
      </c>
      <c r="D41" s="2" t="s">
        <v>23</v>
      </c>
      <c r="E41" s="3">
        <v>45786</v>
      </c>
      <c r="F41" s="2" t="str">
        <f t="shared" si="0"/>
        <v>May-2025</v>
      </c>
      <c r="G41" s="2">
        <v>106</v>
      </c>
      <c r="H41" s="2" t="s">
        <v>18</v>
      </c>
      <c r="I41" s="2" t="s">
        <v>43</v>
      </c>
      <c r="J41" s="4">
        <v>248.77</v>
      </c>
      <c r="K41" s="2">
        <v>10</v>
      </c>
      <c r="L41" s="2" t="s">
        <v>26</v>
      </c>
      <c r="M41" s="2" t="s">
        <v>58</v>
      </c>
      <c r="N41" s="4">
        <f t="shared" si="1"/>
        <v>2487.7000000000003</v>
      </c>
      <c r="O41" s="2">
        <f>IF(AND(OR(Dashboard!$C$4="All",B41=Dashboard!$C$4),OR(Dashboard!$E$4="All",L41=Dashboard!$E$4)),1,0)</f>
        <v>1</v>
      </c>
    </row>
    <row r="42" spans="1:15">
      <c r="A42" s="2">
        <v>100041</v>
      </c>
      <c r="B42" s="2" t="s">
        <v>15</v>
      </c>
      <c r="C42" s="2" t="s">
        <v>22</v>
      </c>
      <c r="D42" s="2" t="s">
        <v>32</v>
      </c>
      <c r="E42" s="3">
        <v>45740</v>
      </c>
      <c r="F42" s="2" t="str">
        <f t="shared" si="0"/>
        <v>Mar-2025</v>
      </c>
      <c r="G42" s="2">
        <v>49</v>
      </c>
      <c r="H42" s="2" t="s">
        <v>46</v>
      </c>
      <c r="I42" s="2" t="s">
        <v>33</v>
      </c>
      <c r="J42" s="4">
        <v>200.2</v>
      </c>
      <c r="K42" s="2">
        <v>3</v>
      </c>
      <c r="L42" s="2" t="s">
        <v>26</v>
      </c>
      <c r="M42" s="2" t="s">
        <v>21</v>
      </c>
      <c r="N42" s="4">
        <f t="shared" si="1"/>
        <v>600.59999999999991</v>
      </c>
      <c r="O42" s="2">
        <f>IF(AND(OR(Dashboard!$C$4="All",B42=Dashboard!$C$4),OR(Dashboard!$E$4="All",L42=Dashboard!$E$4)),1,0)</f>
        <v>1</v>
      </c>
    </row>
    <row r="43" spans="1:15">
      <c r="A43" s="2">
        <v>100042</v>
      </c>
      <c r="B43" s="2" t="s">
        <v>35</v>
      </c>
      <c r="C43" s="2" t="s">
        <v>31</v>
      </c>
      <c r="D43" s="2" t="s">
        <v>55</v>
      </c>
      <c r="E43" s="3">
        <v>45821</v>
      </c>
      <c r="F43" s="2" t="str">
        <f t="shared" si="0"/>
        <v>Jun-2025</v>
      </c>
      <c r="G43" s="2">
        <v>84</v>
      </c>
      <c r="H43" s="2" t="s">
        <v>18</v>
      </c>
      <c r="I43" s="2" t="s">
        <v>43</v>
      </c>
      <c r="J43" s="4">
        <v>281.61</v>
      </c>
      <c r="K43" s="2">
        <v>9</v>
      </c>
      <c r="L43" s="2" t="s">
        <v>26</v>
      </c>
      <c r="M43" s="2" t="s">
        <v>27</v>
      </c>
      <c r="N43" s="4">
        <f t="shared" si="1"/>
        <v>2534.4900000000002</v>
      </c>
      <c r="O43" s="2">
        <f>IF(AND(OR(Dashboard!$C$4="All",B43=Dashboard!$C$4),OR(Dashboard!$E$4="All",L43=Dashboard!$E$4)),1,0)</f>
        <v>1</v>
      </c>
    </row>
    <row r="44" spans="1:15">
      <c r="A44" s="2">
        <v>100043</v>
      </c>
      <c r="B44" s="2" t="s">
        <v>15</v>
      </c>
      <c r="C44" s="2" t="s">
        <v>48</v>
      </c>
      <c r="D44" s="2" t="s">
        <v>51</v>
      </c>
      <c r="E44" s="3">
        <v>45711</v>
      </c>
      <c r="F44" s="2" t="str">
        <f t="shared" si="0"/>
        <v>Feb-2025</v>
      </c>
      <c r="G44" s="2">
        <v>49</v>
      </c>
      <c r="H44" s="2" t="s">
        <v>18</v>
      </c>
      <c r="I44" s="2" t="s">
        <v>25</v>
      </c>
      <c r="J44" s="4">
        <v>200.2</v>
      </c>
      <c r="K44" s="2">
        <v>1</v>
      </c>
      <c r="L44" s="2" t="s">
        <v>26</v>
      </c>
      <c r="M44" s="2" t="s">
        <v>27</v>
      </c>
      <c r="N44" s="4">
        <f t="shared" si="1"/>
        <v>200.2</v>
      </c>
      <c r="O44" s="2">
        <f>IF(AND(OR(Dashboard!$C$4="All",B44=Dashboard!$C$4),OR(Dashboard!$E$4="All",L44=Dashboard!$E$4)),1,0)</f>
        <v>1</v>
      </c>
    </row>
    <row r="45" spans="1:15">
      <c r="A45" s="2">
        <v>100044</v>
      </c>
      <c r="B45" s="2" t="s">
        <v>15</v>
      </c>
      <c r="C45" s="2" t="s">
        <v>60</v>
      </c>
      <c r="D45" s="2" t="s">
        <v>51</v>
      </c>
      <c r="E45" s="3">
        <v>45817</v>
      </c>
      <c r="F45" s="2" t="str">
        <f t="shared" si="0"/>
        <v>Jun-2025</v>
      </c>
      <c r="G45" s="2">
        <v>59</v>
      </c>
      <c r="H45" s="2" t="s">
        <v>24</v>
      </c>
      <c r="I45" s="2" t="s">
        <v>25</v>
      </c>
      <c r="J45" s="4">
        <v>293.72000000000003</v>
      </c>
      <c r="K45" s="2">
        <v>8</v>
      </c>
      <c r="L45" s="2" t="s">
        <v>26</v>
      </c>
      <c r="M45" s="2" t="s">
        <v>34</v>
      </c>
      <c r="N45" s="4">
        <f t="shared" si="1"/>
        <v>2349.7600000000002</v>
      </c>
      <c r="O45" s="2">
        <f>IF(AND(OR(Dashboard!$C$4="All",B45=Dashboard!$C$4),OR(Dashboard!$E$4="All",L45=Dashboard!$E$4)),1,0)</f>
        <v>1</v>
      </c>
    </row>
    <row r="46" spans="1:15">
      <c r="A46" s="2">
        <v>100045</v>
      </c>
      <c r="B46" s="2" t="s">
        <v>15</v>
      </c>
      <c r="C46" s="2" t="s">
        <v>60</v>
      </c>
      <c r="D46" s="2" t="s">
        <v>37</v>
      </c>
      <c r="E46" s="3">
        <v>45789</v>
      </c>
      <c r="F46" s="2" t="str">
        <f t="shared" si="0"/>
        <v>May-2025</v>
      </c>
      <c r="G46" s="2">
        <v>74</v>
      </c>
      <c r="H46" s="2" t="s">
        <v>24</v>
      </c>
      <c r="I46" s="2" t="s">
        <v>43</v>
      </c>
      <c r="J46" s="4">
        <v>65.7</v>
      </c>
      <c r="K46" s="2">
        <v>7</v>
      </c>
      <c r="L46" s="2" t="s">
        <v>20</v>
      </c>
      <c r="M46" s="2" t="s">
        <v>34</v>
      </c>
      <c r="N46" s="4">
        <f t="shared" si="1"/>
        <v>459.90000000000003</v>
      </c>
      <c r="O46" s="2">
        <f>IF(AND(OR(Dashboard!$C$4="All",B46=Dashboard!$C$4),OR(Dashboard!$E$4="All",L46=Dashboard!$E$4)),1,0)</f>
        <v>0</v>
      </c>
    </row>
    <row r="47" spans="1:15">
      <c r="A47" s="2">
        <v>100046</v>
      </c>
      <c r="B47" s="2" t="s">
        <v>15</v>
      </c>
      <c r="C47" s="2" t="s">
        <v>42</v>
      </c>
      <c r="D47" s="2" t="s">
        <v>41</v>
      </c>
      <c r="E47" s="3">
        <v>45833</v>
      </c>
      <c r="F47" s="2" t="str">
        <f t="shared" si="0"/>
        <v>Jun-2025</v>
      </c>
      <c r="G47" s="2">
        <v>93</v>
      </c>
      <c r="H47" s="2" t="s">
        <v>30</v>
      </c>
      <c r="I47" s="2" t="s">
        <v>25</v>
      </c>
      <c r="J47" s="4">
        <v>294.88</v>
      </c>
      <c r="K47" s="2">
        <v>1</v>
      </c>
      <c r="L47" s="2" t="s">
        <v>26</v>
      </c>
      <c r="M47" s="2" t="s">
        <v>58</v>
      </c>
      <c r="N47" s="4">
        <f t="shared" si="1"/>
        <v>294.88</v>
      </c>
      <c r="O47" s="2">
        <f>IF(AND(OR(Dashboard!$C$4="All",B47=Dashboard!$C$4),OR(Dashboard!$E$4="All",L47=Dashboard!$E$4)),1,0)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workbookViewId="0">
      <selection activeCell="A21" sqref="A21"/>
    </sheetView>
  </sheetViews>
  <sheetFormatPr defaultRowHeight="15"/>
  <cols>
    <col min="1" max="1" width="16.42578125" bestFit="1" customWidth="1"/>
    <col min="2" max="2" width="9" bestFit="1" customWidth="1"/>
    <col min="3" max="3" width="10.140625" bestFit="1" customWidth="1"/>
    <col min="4" max="4" width="9.28515625" bestFit="1" customWidth="1"/>
    <col min="6" max="6" width="15.42578125" bestFit="1" customWidth="1"/>
    <col min="8" max="8" width="10.140625" bestFit="1" customWidth="1"/>
    <col min="10" max="10" width="16.42578125" bestFit="1" customWidth="1"/>
    <col min="11" max="11" width="14" bestFit="1" customWidth="1"/>
    <col min="12" max="12" width="9.7109375" bestFit="1" customWidth="1"/>
    <col min="13" max="13" width="16.5703125" bestFit="1" customWidth="1"/>
    <col min="15" max="15" width="9.42578125" bestFit="1" customWidth="1"/>
    <col min="16" max="16" width="10.140625" bestFit="1" customWidth="1"/>
  </cols>
  <sheetData>
    <row r="1" spans="1:17">
      <c r="A1" s="13" t="s">
        <v>63</v>
      </c>
      <c r="B1" s="13"/>
      <c r="C1" s="13"/>
      <c r="D1" s="13"/>
      <c r="F1" s="13" t="s">
        <v>64</v>
      </c>
      <c r="G1" s="13"/>
      <c r="H1" s="13"/>
      <c r="I1" s="5"/>
      <c r="J1" s="14" t="s">
        <v>65</v>
      </c>
      <c r="K1" s="14"/>
      <c r="L1" s="14"/>
      <c r="M1" s="14"/>
      <c r="O1" s="14" t="s">
        <v>69</v>
      </c>
      <c r="P1" s="14"/>
      <c r="Q1" s="14"/>
    </row>
    <row r="2" spans="1:17">
      <c r="A2" s="6" t="s">
        <v>7</v>
      </c>
      <c r="B2" s="6" t="s">
        <v>61</v>
      </c>
      <c r="C2" s="6" t="s">
        <v>13</v>
      </c>
      <c r="D2" s="6" t="s">
        <v>62</v>
      </c>
      <c r="F2" s="9" t="s">
        <v>3</v>
      </c>
      <c r="G2" s="9" t="s">
        <v>61</v>
      </c>
      <c r="H2" s="9" t="s">
        <v>13</v>
      </c>
      <c r="J2" s="9" t="s">
        <v>7</v>
      </c>
      <c r="K2" s="9" t="s">
        <v>66</v>
      </c>
      <c r="L2" s="9" t="s">
        <v>67</v>
      </c>
      <c r="M2" s="9" t="s">
        <v>68</v>
      </c>
      <c r="O2" s="9" t="s">
        <v>70</v>
      </c>
      <c r="P2" s="9" t="s">
        <v>13</v>
      </c>
    </row>
    <row r="3" spans="1:17">
      <c r="A3" s="7" t="s">
        <v>18</v>
      </c>
      <c r="B3">
        <f>SUMPRODUCT((Data!$H$2:$H$47="Online Ta")*Data!$O$2:$O$47)</f>
        <v>14</v>
      </c>
      <c r="C3" s="8">
        <f>SUMPRODUCT((Data!$H$2:$H$47="Online Ta")*Data!$N$2:$N$47*Data!$O$2:$O$47)</f>
        <v>20137.170000000002</v>
      </c>
      <c r="D3" s="8">
        <f>IF(B3=0,0,SUMPRODUCT((Data!$H$2:$H$47=$A3)*Data!$J$2:$J$47*Data!$O$2:$O$47)/B3)</f>
        <v>226.59071428571426</v>
      </c>
      <c r="F3" s="7" t="s">
        <v>32</v>
      </c>
      <c r="G3">
        <f>SUMPRODUCT((Data!$D$2:$D$47=$F3)*Data!$O$2:$O$47)</f>
        <v>3</v>
      </c>
      <c r="H3" s="8">
        <f>SUMPRODUCT((Data!$D$2:$D$47=$F3)*Data!$N$2:$N$47*Data!$O$2:$O$47)</f>
        <v>2920.8399999999997</v>
      </c>
      <c r="J3" s="7" t="s">
        <v>18</v>
      </c>
      <c r="K3">
        <f>SUMPRODUCT((Data!$H$2:$H$47=$J3)*(IF(Dashboard!$C$4="All",1,Data!$B$2:$B$47=Dashboard!$C$4)))</f>
        <v>16</v>
      </c>
      <c r="L3">
        <f>SUMPRODUCT((Data!$H$2:$H$47=$J3)*(Data!$L$2:$L$47="Yes")*(IF(Dashboard!$C$4="All",1,Data!$B$2:$B$47=Dashboard!$C$4)))</f>
        <v>2</v>
      </c>
      <c r="M3" s="11">
        <f>IF(K3=0,0,L3/K3)</f>
        <v>0.125</v>
      </c>
      <c r="O3" s="7" t="s">
        <v>71</v>
      </c>
      <c r="P3" s="8">
        <f>SUMPRODUCT((Data!$F$2:$F$47=$O3)*Data!$N$2:$N$47*Data!$O$2:$O$47)</f>
        <v>7109.59</v>
      </c>
    </row>
    <row r="4" spans="1:17">
      <c r="A4" s="7" t="s">
        <v>30</v>
      </c>
      <c r="B4">
        <f>SUMPRODUCT((Data!$H$2:$H$47=$A4)*Data!$O$2:$O$47)</f>
        <v>4</v>
      </c>
      <c r="C4" s="8">
        <f>SUMPRODUCT((Data!$H$2:$H$47=$A4)*Data!$N$2:$N$47*Data!$O$2:$O$47)</f>
        <v>2565.2600000000002</v>
      </c>
      <c r="D4" s="8">
        <f>IF(B4=0,0,SUMPRODUCT((Data!$H$2:$H$47=$A4)*Data!$J$2:$J$47*Data!$O$2:$O$47)/B4)</f>
        <v>158.69999999999999</v>
      </c>
      <c r="F4" s="7" t="s">
        <v>45</v>
      </c>
      <c r="G4">
        <f>SUMPRODUCT((Data!$D$2:$D$47=$F4)*Data!$O$2:$O$47)</f>
        <v>3</v>
      </c>
      <c r="H4" s="8">
        <f>SUMPRODUCT((Data!$D$2:$D$47=$F4)*Data!$N$2:$N$47*Data!$O$2:$O$47)</f>
        <v>3951.0199999999995</v>
      </c>
      <c r="J4" s="7" t="s">
        <v>30</v>
      </c>
      <c r="K4">
        <f>SUMPRODUCT((Data!$H$2:$H$47=$J4)*(IF(Dashboard!$C$4="All",1,Data!$B$2:$B$47=Dashboard!$C$4)))</f>
        <v>7</v>
      </c>
      <c r="L4">
        <f>SUMPRODUCT((Data!$H$2:$H$47=$J4)*(Data!$L$2:$L$47="Yes")*(IF(Dashboard!$C$4="All",1,Data!$B$2:$B$47=Dashboard!$C$4)))</f>
        <v>3</v>
      </c>
      <c r="M4" s="11">
        <f t="shared" ref="M4:M7" si="0">IF(K4=0,0,L4/K4)</f>
        <v>0.42857142857142855</v>
      </c>
      <c r="O4" s="7" t="s">
        <v>72</v>
      </c>
      <c r="P4" s="8">
        <f>SUMPRODUCT((Data!$F$2:$F$47=$O4)*Data!$N$2:$N$47*Data!$O$2:$O$47)</f>
        <v>4576.3100000000004</v>
      </c>
    </row>
    <row r="5" spans="1:17">
      <c r="A5" s="7" t="s">
        <v>24</v>
      </c>
      <c r="B5">
        <f>SUMPRODUCT((Data!$H$2:$H$47=$A5)*Data!$O$2:$O$47)</f>
        <v>10</v>
      </c>
      <c r="C5" s="8">
        <f>SUMPRODUCT((Data!$H$2:$H$47=$A5)*Data!$N$2:$N$47*Data!$O$2:$O$47)</f>
        <v>11702.339999999998</v>
      </c>
      <c r="D5" s="8">
        <f>IF(B5=0,0,SUMPRODUCT((Data!$H$2:$H$47=$A5)*Data!$J$2:$J$47*Data!$O$2:$O$47)/B5)</f>
        <v>189.63300000000001</v>
      </c>
      <c r="F5" s="7" t="s">
        <v>54</v>
      </c>
      <c r="G5">
        <f>SUMPRODUCT((Data!$D$2:$D$47=$F5)*Data!$O$2:$O$47)</f>
        <v>2</v>
      </c>
      <c r="H5" s="8">
        <f>SUMPRODUCT((Data!$D$2:$D$47=$F5)*Data!$N$2:$N$47*Data!$O$2:$O$47)</f>
        <v>1666.63</v>
      </c>
      <c r="J5" s="7" t="s">
        <v>24</v>
      </c>
      <c r="K5">
        <f>SUMPRODUCT((Data!$H$2:$H$47=$J5)*(IF(Dashboard!$C$4="All",1,Data!$B$2:$B$47=Dashboard!$C$4)))</f>
        <v>11</v>
      </c>
      <c r="L5">
        <f>SUMPRODUCT((Data!$H$2:$H$47=$J5)*(Data!$L$2:$L$47="Yes")*(IF(Dashboard!$C$4="All",1,Data!$B$2:$B$47=Dashboard!$C$4)))</f>
        <v>1</v>
      </c>
      <c r="M5" s="11">
        <f t="shared" si="0"/>
        <v>9.0909090909090912E-2</v>
      </c>
      <c r="O5" s="7" t="s">
        <v>73</v>
      </c>
      <c r="P5" s="8">
        <f>SUMPRODUCT((Data!$F$2:$F$47=$O5)*Data!$N$2:$N$47*Data!$O$2:$O$47)</f>
        <v>10301.120000000001</v>
      </c>
    </row>
    <row r="6" spans="1:17">
      <c r="A6" s="7" t="s">
        <v>46</v>
      </c>
      <c r="B6">
        <f>SUMPRODUCT((Data!$H$2:$H$47=$A6)*Data!$O$2:$O$47)</f>
        <v>5</v>
      </c>
      <c r="C6" s="8">
        <f>SUMPRODUCT((Data!$H$2:$H$47=$A6)*Data!$N$2:$N$47*Data!$O$2:$O$47)</f>
        <v>7804.0499999999993</v>
      </c>
      <c r="D6" s="8">
        <f>IF(B6=0,0,SUMPRODUCT((Data!$H$2:$H$47=$A6)*Data!$J$2:$J$47*Data!$O$2:$O$47)/B6)</f>
        <v>205.08199999999997</v>
      </c>
      <c r="F6" s="7" t="s">
        <v>29</v>
      </c>
      <c r="G6">
        <f>SUMPRODUCT((Data!$D$2:$D$47=$F6)*Data!$O$2:$O$47)</f>
        <v>6</v>
      </c>
      <c r="H6" s="8">
        <f>SUMPRODUCT((Data!$D$2:$D$47=$F6)*Data!$N$2:$N$47*Data!$O$2:$O$47)</f>
        <v>9654.18</v>
      </c>
      <c r="J6" s="7" t="s">
        <v>46</v>
      </c>
      <c r="K6">
        <f>SUMPRODUCT((Data!$H$2:$H$47=$J6)*(IF(Dashboard!$C$4="All",1,Data!$B$2:$B$47=Dashboard!$C$4)))</f>
        <v>5</v>
      </c>
      <c r="L6">
        <f>SUMPRODUCT((Data!$H$2:$H$47=$J6)*(Data!$L$2:$L$47="Yes")*(IF(Dashboard!$C$4="All",1,Data!$B$2:$B$47=Dashboard!$C$4)))</f>
        <v>0</v>
      </c>
      <c r="M6" s="11">
        <f t="shared" si="0"/>
        <v>0</v>
      </c>
      <c r="O6" s="7" t="s">
        <v>74</v>
      </c>
      <c r="P6" s="8">
        <f>SUMPRODUCT((Data!$F$2:$F$47=$O6)*Data!$N$2:$N$47*Data!$O$2:$O$47)</f>
        <v>4237.3799999999992</v>
      </c>
    </row>
    <row r="7" spans="1:17">
      <c r="A7" s="7" t="s">
        <v>38</v>
      </c>
      <c r="B7">
        <f>SUMPRODUCT((Data!$H$2:$H$47=$A7)*Data!$O$2:$O$47)</f>
        <v>6</v>
      </c>
      <c r="C7" s="8">
        <f>SUMPRODUCT((Data!$H$2:$H$47=$A7)*Data!$N$2:$N$47*Data!$O$2:$O$47)</f>
        <v>7945.0999999999995</v>
      </c>
      <c r="D7" s="8">
        <f>IF(B7=0,0,SUMPRODUCT((Data!$H$2:$H$47=$A7)*Data!$J$2:$J$47*Data!$O$2:$O$47)/B7)</f>
        <v>208</v>
      </c>
      <c r="F7" s="7" t="s">
        <v>41</v>
      </c>
      <c r="G7">
        <f>SUMPRODUCT((Data!$D$2:$D$47=$F7)*Data!$O$2:$O$47)</f>
        <v>5</v>
      </c>
      <c r="H7" s="8">
        <f>SUMPRODUCT((Data!$D$2:$D$47=$F7)*Data!$N$2:$N$47*Data!$O$2:$O$47)</f>
        <v>2686.4000000000005</v>
      </c>
      <c r="J7" s="7" t="s">
        <v>38</v>
      </c>
      <c r="K7">
        <f>SUMPRODUCT((Data!$H$2:$H$47=$J7)*(IF(Dashboard!$C$4="All",1,Data!$B$2:$B$47=Dashboard!$C$4)))</f>
        <v>7</v>
      </c>
      <c r="L7">
        <f>SUMPRODUCT((Data!$H$2:$H$47=$J7)*(Data!$L$2:$L$47="Yes")*(IF(Dashboard!$C$4="All",1,Data!$B$2:$B$47=Dashboard!$C$4)))</f>
        <v>1</v>
      </c>
      <c r="M7" s="11">
        <f t="shared" si="0"/>
        <v>0.14285714285714285</v>
      </c>
      <c r="O7" s="7" t="s">
        <v>75</v>
      </c>
      <c r="P7" s="8">
        <f>SUMPRODUCT((Data!$F$2:$F$47=$O7)*Data!$N$2:$N$47*Data!$O$2:$O$47)</f>
        <v>9539.7199999999993</v>
      </c>
    </row>
    <row r="8" spans="1:17">
      <c r="F8" s="7" t="s">
        <v>23</v>
      </c>
      <c r="G8">
        <f>SUMPRODUCT((Data!$D$2:$D$47=$F8)*Data!$O$2:$O$47)</f>
        <v>3</v>
      </c>
      <c r="H8" s="8">
        <f>SUMPRODUCT((Data!$D$2:$D$47=$F8)*Data!$N$2:$N$47*Data!$O$2:$O$47)</f>
        <v>5756.92</v>
      </c>
      <c r="O8" s="7" t="s">
        <v>76</v>
      </c>
      <c r="P8" s="8">
        <f>SUMPRODUCT((Data!$F$2:$F$47=$O8)*Data!$N$2:$N$47*Data!$O$2:$O$47)</f>
        <v>14389.8</v>
      </c>
    </row>
    <row r="9" spans="1:17">
      <c r="F9" s="7" t="s">
        <v>37</v>
      </c>
      <c r="G9">
        <f>SUMPRODUCT((Data!$D$2:$D$47=$F9)*Data!$O$2:$O$47)</f>
        <v>4</v>
      </c>
      <c r="H9" s="8">
        <f>SUMPRODUCT((Data!$D$2:$D$47=$F9)*Data!$N$2:$N$47*Data!$O$2:$O$47)</f>
        <v>4577.26</v>
      </c>
    </row>
    <row r="10" spans="1:17">
      <c r="F10" s="7" t="s">
        <v>51</v>
      </c>
      <c r="G10">
        <f>SUMPRODUCT((Data!$D$2:$D$47=$F10)*Data!$O$2:$O$47)</f>
        <v>6</v>
      </c>
      <c r="H10" s="8">
        <f>SUMPRODUCT((Data!$D$2:$D$47=$F10)*Data!$N$2:$N$47*Data!$O$2:$O$47)</f>
        <v>9533.119999999999</v>
      </c>
    </row>
    <row r="11" spans="1:17">
      <c r="F11" s="7" t="s">
        <v>49</v>
      </c>
      <c r="G11">
        <f>SUMPRODUCT((Data!$D$2:$D$47=$F11)*Data!$O$2:$O$47)</f>
        <v>1</v>
      </c>
      <c r="H11" s="8">
        <f>SUMPRODUCT((Data!$D$2:$D$47=$F11)*Data!$N$2:$N$47*Data!$O$2:$O$47)</f>
        <v>310.68</v>
      </c>
    </row>
    <row r="12" spans="1:17">
      <c r="F12" s="7" t="s">
        <v>55</v>
      </c>
      <c r="G12">
        <f>SUMPRODUCT((Data!$D$2:$D$47=$F12)*Data!$O$2:$O$47)</f>
        <v>4</v>
      </c>
      <c r="H12" s="8">
        <f>SUMPRODUCT((Data!$D$2:$D$47=$F12)*Data!$N$2:$N$47*Data!$O$2:$O$47)</f>
        <v>7406.630000000001</v>
      </c>
    </row>
    <row r="13" spans="1:17">
      <c r="F13" s="7" t="s">
        <v>17</v>
      </c>
      <c r="G13">
        <f>SUMPRODUCT((Data!$D$2:$D$47=$F13)*Data!$O$2:$O$47)</f>
        <v>2</v>
      </c>
      <c r="H13" s="8">
        <f>SUMPRODUCT((Data!$D$2:$D$47=$F13)*Data!$N$2:$N$47*Data!$O$2:$O$47)</f>
        <v>1690.2399999999998</v>
      </c>
    </row>
  </sheetData>
  <mergeCells count="4">
    <mergeCell ref="A1:D1"/>
    <mergeCell ref="F1:H1"/>
    <mergeCell ref="J1:M1"/>
    <mergeCell ref="O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"/>
  <sheetViews>
    <sheetView tabSelected="1" topLeftCell="A14" zoomScale="80" zoomScaleNormal="80" workbookViewId="0">
      <selection activeCell="R13" sqref="R13"/>
    </sheetView>
  </sheetViews>
  <sheetFormatPr defaultRowHeight="15"/>
  <cols>
    <col min="1" max="1" width="3.140625" customWidth="1"/>
    <col min="3" max="3" width="9.7109375" bestFit="1" customWidth="1"/>
    <col min="4" max="4" width="10.85546875" bestFit="1" customWidth="1"/>
  </cols>
  <sheetData>
    <row r="1" spans="1:20" ht="36">
      <c r="A1" s="15" t="s">
        <v>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0"/>
      <c r="P1" s="10"/>
      <c r="Q1" s="10"/>
      <c r="R1" s="10"/>
      <c r="S1" s="10"/>
      <c r="T1" s="10"/>
    </row>
    <row r="4" spans="1:20">
      <c r="B4" t="s">
        <v>1</v>
      </c>
      <c r="C4" s="12" t="s">
        <v>81</v>
      </c>
      <c r="D4" t="s">
        <v>67</v>
      </c>
      <c r="E4" s="12" t="s">
        <v>26</v>
      </c>
    </row>
    <row r="8" spans="1:20">
      <c r="B8" s="16" t="s">
        <v>66</v>
      </c>
      <c r="C8" s="16"/>
      <c r="D8" s="16" t="s">
        <v>78</v>
      </c>
      <c r="E8" s="16"/>
      <c r="F8" s="16" t="s">
        <v>68</v>
      </c>
      <c r="G8" s="16"/>
      <c r="H8" s="16" t="s">
        <v>79</v>
      </c>
      <c r="I8" s="16"/>
      <c r="J8" s="16" t="s">
        <v>80</v>
      </c>
      <c r="K8" s="16"/>
    </row>
    <row r="9" spans="1:20">
      <c r="B9" s="17">
        <f>SUMPRODUCT(Data!$O$2:$O$47)</f>
        <v>39</v>
      </c>
      <c r="C9" s="17"/>
      <c r="D9" s="18">
        <f>SUMPRODUCT(Data!$N$2:$N$47*Data!$O$2:$O$47)</f>
        <v>50153.919999999984</v>
      </c>
      <c r="E9" s="18"/>
      <c r="F9" s="19">
        <f>IF(SUMPRODUCT(Data!$O$2:$O$47)=0,0,SUMPRODUCT((Data!$L$2:$L$47="Yes")*Data!$O$2:$O$47)/SUMPRODUCT(Data!$O$2:$O$47))</f>
        <v>0</v>
      </c>
      <c r="G9" s="19"/>
      <c r="H9" s="20">
        <f>IF(SUMPRODUCT(Data!$O$2:$O$47)=0,0,SUMPRODUCT(Data!$J$2:$J$47*Data!$O$2:$O$47)/SUMPRODUCT(Data!$O$2:$O$47))</f>
        <v>204.53358974358977</v>
      </c>
      <c r="I9" s="20"/>
      <c r="J9" s="21">
        <f>IF(SUMPRODUCT(Data!$O$2:$O$47)=0,0,SUMPRODUCT(Data!$G$2:$G$47*Data!$O$2:$O$47)/SUMPRODUCT(Data!$O$2:$O$47))</f>
        <v>54.948717948717949</v>
      </c>
      <c r="K9" s="21"/>
    </row>
  </sheetData>
  <mergeCells count="11">
    <mergeCell ref="B9:C9"/>
    <mergeCell ref="D9:E9"/>
    <mergeCell ref="F9:G9"/>
    <mergeCell ref="H9:I9"/>
    <mergeCell ref="J9:K9"/>
    <mergeCell ref="A1:N1"/>
    <mergeCell ref="B8:C8"/>
    <mergeCell ref="D8:E8"/>
    <mergeCell ref="F8:G8"/>
    <mergeCell ref="H8:I8"/>
    <mergeCell ref="J8:K8"/>
  </mergeCells>
  <dataValidations count="2">
    <dataValidation type="list" allowBlank="1" showInputMessage="1" showErrorMessage="1" sqref="C4">
      <formula1>"All,Resort Hotel,City Hotel"</formula1>
    </dataValidation>
    <dataValidation type="list" allowBlank="1" showInputMessage="1" showErrorMessage="1" sqref="E4">
      <formula1>"All,Yes,No"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Shashaank</dc:creator>
  <cp:lastModifiedBy>Shashaank</cp:lastModifiedBy>
  <dcterms:created xsi:type="dcterms:W3CDTF">2026-10-07T13:51:29Z</dcterms:created>
  <dcterms:modified xsi:type="dcterms:W3CDTF">2026-10-07T16:28:17Z</dcterms:modified>
</cp:coreProperties>
</file>